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ike\PycharmProjects\impedanceTimeSort\venv\reports\"/>
    </mc:Choice>
  </mc:AlternateContent>
  <xr:revisionPtr revIDLastSave="0" documentId="13_ncr:1_{02476505-DE45-4C74-BCE2-8EF936078DCE}" xr6:coauthVersionLast="45" xr6:coauthVersionMax="45" xr10:uidLastSave="{00000000-0000-0000-0000-000000000000}"/>
  <bookViews>
    <workbookView xWindow="4200" yWindow="405" windowWidth="26310" windowHeight="14190" activeTab="3" xr2:uid="{00000000-000D-0000-FFFF-FFFF00000000}"/>
  </bookViews>
  <sheets>
    <sheet name="953bb, 953i" sheetId="1" r:id="rId1"/>
    <sheet name="953c, 953e" sheetId="2" r:id="rId2"/>
    <sheet name="953i, prod" sheetId="3" r:id="rId3"/>
    <sheet name="953i, prod (2)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11" i="4" l="1"/>
  <c r="Z2" i="4"/>
  <c r="J12" i="4"/>
  <c r="P3" i="4" s="1"/>
  <c r="Q20" i="4"/>
  <c r="Y19" i="4" s="1"/>
  <c r="K19" i="4"/>
  <c r="P20" i="4" s="1"/>
  <c r="Z19" i="4" s="1"/>
  <c r="K18" i="4"/>
  <c r="P19" i="4" s="1"/>
  <c r="Z18" i="4" s="1"/>
  <c r="Q7" i="4"/>
  <c r="K12" i="4"/>
  <c r="Q15" i="4"/>
  <c r="Y14" i="4" s="1"/>
  <c r="Q16" i="4"/>
  <c r="Y15" i="4" s="1"/>
  <c r="Q18" i="4"/>
  <c r="Y17" i="4" s="1"/>
  <c r="Q13" i="4"/>
  <c r="J4" i="4"/>
  <c r="O4" i="4" s="1"/>
  <c r="Y3" i="4" s="1"/>
  <c r="J5" i="4"/>
  <c r="O5" i="4" s="1"/>
  <c r="Y4" i="4" s="1"/>
  <c r="J6" i="4"/>
  <c r="O6" i="4" s="1"/>
  <c r="Y5" i="4" s="1"/>
  <c r="J7" i="4"/>
  <c r="O7" i="4" s="1"/>
  <c r="Y6" i="4" s="1"/>
  <c r="J8" i="4"/>
  <c r="O8" i="4" s="1"/>
  <c r="Y7" i="4" s="1"/>
  <c r="J9" i="4"/>
  <c r="O9" i="4" s="1"/>
  <c r="Y8" i="4" s="1"/>
  <c r="J10" i="4"/>
  <c r="O10" i="4" s="1"/>
  <c r="Y9" i="4" s="1"/>
  <c r="K4" i="4"/>
  <c r="K5" i="4"/>
  <c r="K6" i="4"/>
  <c r="K7" i="4"/>
  <c r="K8" i="4"/>
  <c r="K9" i="4"/>
  <c r="K10" i="4"/>
  <c r="K14" i="4"/>
  <c r="P15" i="4" s="1"/>
  <c r="Z14" i="4" s="1"/>
  <c r="K15" i="4"/>
  <c r="P16" i="4" s="1"/>
  <c r="Z15" i="4" s="1"/>
  <c r="K17" i="4"/>
  <c r="P18" i="4" s="1"/>
  <c r="Z17" i="4" s="1"/>
  <c r="J14" i="4"/>
  <c r="P5" i="4" s="1"/>
  <c r="Z4" i="4" s="1"/>
  <c r="J17" i="4"/>
  <c r="P8" i="4" s="1"/>
  <c r="Z7" i="4" s="1"/>
  <c r="J18" i="4"/>
  <c r="P9" i="4" s="1"/>
  <c r="Z8" i="4" s="1"/>
  <c r="J19" i="4"/>
  <c r="P10" i="4" s="1"/>
  <c r="Q10" i="4"/>
  <c r="Q9" i="4"/>
  <c r="Q8" i="4"/>
  <c r="Q5" i="4"/>
  <c r="Q4" i="4"/>
  <c r="K3" i="4"/>
  <c r="O13" i="4" s="1"/>
  <c r="J3" i="4"/>
  <c r="O3" i="4" s="1"/>
  <c r="P13" i="4" l="1"/>
  <c r="Z12" i="4" s="1"/>
  <c r="Q17" i="4"/>
  <c r="Y16" i="4" s="1"/>
  <c r="K13" i="4"/>
  <c r="P14" i="4" s="1"/>
  <c r="Z13" i="4" s="1"/>
  <c r="J15" i="4"/>
  <c r="P6" i="4" s="1"/>
  <c r="Z5" i="4" s="1"/>
  <c r="Q14" i="4"/>
  <c r="Y13" i="4" s="1"/>
  <c r="Q6" i="4"/>
  <c r="J13" i="4"/>
  <c r="P4" i="4" s="1"/>
  <c r="Z3" i="4" s="1"/>
  <c r="Q19" i="4"/>
  <c r="Y18" i="4" s="1"/>
  <c r="Q3" i="4"/>
  <c r="J16" i="4"/>
  <c r="P7" i="4" s="1"/>
  <c r="Z6" i="4" s="1"/>
  <c r="K16" i="4"/>
  <c r="P17" i="4" s="1"/>
  <c r="Z16" i="4" s="1"/>
  <c r="Y12" i="4"/>
  <c r="Y2" i="4"/>
  <c r="Y11" i="4" s="1"/>
  <c r="Z9" i="4"/>
  <c r="O3" i="3"/>
  <c r="O10" i="3"/>
  <c r="T2" i="3"/>
  <c r="Y9" i="3"/>
  <c r="Z9" i="3"/>
  <c r="Q10" i="3"/>
  <c r="Q3" i="3"/>
  <c r="Z6" i="3"/>
  <c r="R3" i="3"/>
  <c r="Q4" i="3"/>
  <c r="Q5" i="3"/>
  <c r="Q6" i="3"/>
  <c r="Q7" i="3"/>
  <c r="Q8" i="3"/>
  <c r="Q9" i="3"/>
  <c r="R10" i="3"/>
  <c r="R4" i="3"/>
  <c r="R5" i="3"/>
  <c r="R6" i="3"/>
  <c r="R7" i="3"/>
  <c r="R8" i="3"/>
  <c r="R9" i="3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3" i="1"/>
  <c r="Z3" i="1"/>
  <c r="Y4" i="1"/>
  <c r="Z4" i="1"/>
  <c r="Y5" i="1"/>
  <c r="Z5" i="1"/>
  <c r="Y6" i="1"/>
  <c r="Z6" i="1"/>
  <c r="Y7" i="1"/>
  <c r="Z7" i="1"/>
  <c r="Y8" i="1"/>
  <c r="Z8" i="1"/>
  <c r="Y9" i="1"/>
  <c r="Z9" i="1"/>
  <c r="Z12" i="1"/>
  <c r="Y12" i="1"/>
  <c r="Y2" i="1"/>
  <c r="Z2" i="1"/>
  <c r="J13" i="3"/>
  <c r="P4" i="3" s="1"/>
  <c r="Z3" i="3" s="1"/>
  <c r="K13" i="3"/>
  <c r="P14" i="3" s="1"/>
  <c r="Z13" i="3" s="1"/>
  <c r="J14" i="3"/>
  <c r="K14" i="3"/>
  <c r="P15" i="3" s="1"/>
  <c r="J15" i="3"/>
  <c r="K15" i="3"/>
  <c r="P16" i="3" s="1"/>
  <c r="Z15" i="3" s="1"/>
  <c r="J16" i="3"/>
  <c r="P7" i="3" s="1"/>
  <c r="K16" i="3"/>
  <c r="J17" i="3"/>
  <c r="K17" i="3"/>
  <c r="J18" i="3"/>
  <c r="K18" i="3"/>
  <c r="P19" i="3" s="1"/>
  <c r="J19" i="3"/>
  <c r="P10" i="3" s="1"/>
  <c r="K19" i="3"/>
  <c r="P20" i="3" s="1"/>
  <c r="Z19" i="3" s="1"/>
  <c r="J12" i="3"/>
  <c r="P3" i="3" s="1"/>
  <c r="Z2" i="3" s="1"/>
  <c r="K12" i="3"/>
  <c r="P13" i="3" s="1"/>
  <c r="P17" i="3"/>
  <c r="P5" i="3"/>
  <c r="Z4" i="3" s="1"/>
  <c r="P8" i="3"/>
  <c r="Z7" i="3" s="1"/>
  <c r="P18" i="3"/>
  <c r="Z17" i="3" s="1"/>
  <c r="P6" i="3"/>
  <c r="Z5" i="3" s="1"/>
  <c r="P9" i="3"/>
  <c r="Z8" i="3" s="1"/>
  <c r="Y19" i="3"/>
  <c r="Y18" i="3"/>
  <c r="Y17" i="3"/>
  <c r="Y16" i="3"/>
  <c r="Y15" i="3"/>
  <c r="Y14" i="3"/>
  <c r="Y13" i="3"/>
  <c r="K10" i="3"/>
  <c r="J10" i="3"/>
  <c r="K9" i="3"/>
  <c r="J9" i="3"/>
  <c r="O9" i="3" s="1"/>
  <c r="Y8" i="3" s="1"/>
  <c r="K8" i="3"/>
  <c r="J8" i="3"/>
  <c r="O8" i="3" s="1"/>
  <c r="Y7" i="3" s="1"/>
  <c r="K7" i="3"/>
  <c r="J7" i="3"/>
  <c r="O7" i="3" s="1"/>
  <c r="Y6" i="3" s="1"/>
  <c r="K6" i="3"/>
  <c r="J6" i="3"/>
  <c r="O6" i="3" s="1"/>
  <c r="Y5" i="3" s="1"/>
  <c r="K5" i="3"/>
  <c r="J5" i="3"/>
  <c r="O5" i="3" s="1"/>
  <c r="Y4" i="3" s="1"/>
  <c r="K4" i="3"/>
  <c r="J4" i="3"/>
  <c r="O4" i="3" s="1"/>
  <c r="Y3" i="3" s="1"/>
  <c r="K3" i="3"/>
  <c r="O13" i="3" s="1"/>
  <c r="Y12" i="3" s="1"/>
  <c r="Y20" i="3" s="1"/>
  <c r="J3" i="3"/>
  <c r="Y2" i="3" s="1"/>
  <c r="Z20" i="4" l="1"/>
  <c r="Y10" i="4"/>
  <c r="Y20" i="4"/>
  <c r="Y10" i="3"/>
  <c r="Y11" i="3"/>
  <c r="Y11" i="1"/>
  <c r="Z11" i="1"/>
  <c r="Z10" i="1"/>
  <c r="Z12" i="3"/>
  <c r="Z16" i="3"/>
  <c r="Z18" i="3"/>
  <c r="Z14" i="3"/>
  <c r="Z20" i="2"/>
  <c r="Z19" i="2"/>
  <c r="Y10" i="2"/>
  <c r="Y20" i="2"/>
  <c r="Y15" i="2"/>
  <c r="Y16" i="2"/>
  <c r="Y14" i="2"/>
  <c r="Y13" i="2"/>
  <c r="Y12" i="2"/>
  <c r="Y19" i="2"/>
  <c r="Y11" i="2"/>
  <c r="Z2" i="2"/>
  <c r="Z3" i="2"/>
  <c r="Z4" i="2"/>
  <c r="Z5" i="2"/>
  <c r="Z6" i="2"/>
  <c r="Z7" i="2"/>
  <c r="Z8" i="2"/>
  <c r="Z9" i="2"/>
  <c r="Y3" i="2"/>
  <c r="Y4" i="2"/>
  <c r="Y5" i="2"/>
  <c r="Y6" i="2"/>
  <c r="Y7" i="2"/>
  <c r="Y8" i="2"/>
  <c r="Y9" i="2"/>
  <c r="Y2" i="2"/>
  <c r="P14" i="2"/>
  <c r="P15" i="2"/>
  <c r="P16" i="2"/>
  <c r="P17" i="2"/>
  <c r="P18" i="2"/>
  <c r="P19" i="2"/>
  <c r="P20" i="2"/>
  <c r="P13" i="2"/>
  <c r="Z12" i="2" s="1"/>
  <c r="O14" i="2"/>
  <c r="O15" i="2"/>
  <c r="O16" i="2"/>
  <c r="O17" i="2"/>
  <c r="O18" i="2"/>
  <c r="O19" i="2"/>
  <c r="O20" i="2"/>
  <c r="O13" i="2"/>
  <c r="P4" i="2"/>
  <c r="P5" i="2"/>
  <c r="P6" i="2"/>
  <c r="P7" i="2"/>
  <c r="P8" i="2"/>
  <c r="P9" i="2"/>
  <c r="P10" i="2"/>
  <c r="P3" i="2"/>
  <c r="O4" i="2"/>
  <c r="O5" i="2"/>
  <c r="O6" i="2"/>
  <c r="O7" i="2"/>
  <c r="O8" i="2"/>
  <c r="O9" i="2"/>
  <c r="O10" i="2"/>
  <c r="O3" i="2"/>
  <c r="Z14" i="2"/>
  <c r="Z15" i="2"/>
  <c r="Y18" i="2"/>
  <c r="Z18" i="2"/>
  <c r="K19" i="2"/>
  <c r="J19" i="2"/>
  <c r="Z17" i="2"/>
  <c r="Y17" i="2"/>
  <c r="K18" i="2"/>
  <c r="J18" i="2"/>
  <c r="Z16" i="2"/>
  <c r="K17" i="2"/>
  <c r="J17" i="2"/>
  <c r="K16" i="2"/>
  <c r="J16" i="2"/>
  <c r="K15" i="2"/>
  <c r="J15" i="2"/>
  <c r="K14" i="2"/>
  <c r="J14" i="2"/>
  <c r="Z13" i="2"/>
  <c r="K13" i="2"/>
  <c r="J13" i="2"/>
  <c r="K12" i="2"/>
  <c r="J12" i="2"/>
  <c r="K10" i="2"/>
  <c r="J10" i="2"/>
  <c r="K9" i="2"/>
  <c r="J9" i="2"/>
  <c r="K8" i="2"/>
  <c r="J8" i="2"/>
  <c r="K7" i="2"/>
  <c r="J7" i="2"/>
  <c r="K6" i="2"/>
  <c r="J6" i="2"/>
  <c r="K5" i="2"/>
  <c r="J5" i="2"/>
  <c r="K4" i="2"/>
  <c r="J4" i="2"/>
  <c r="K3" i="2"/>
  <c r="J3" i="2"/>
  <c r="Y21" i="4" l="1"/>
  <c r="Z10" i="4"/>
  <c r="Z21" i="4" s="1"/>
  <c r="Z20" i="3"/>
  <c r="Y21" i="3"/>
  <c r="Z11" i="3"/>
  <c r="Z10" i="3"/>
  <c r="Z21" i="3" s="1"/>
  <c r="Y21" i="2"/>
  <c r="Z10" i="2"/>
  <c r="Z11" i="2"/>
  <c r="T14" i="1"/>
  <c r="T13" i="1"/>
  <c r="T15" i="1"/>
  <c r="T16" i="1"/>
  <c r="T17" i="1"/>
  <c r="T18" i="1"/>
  <c r="T19" i="1"/>
  <c r="T20" i="1"/>
  <c r="S13" i="1"/>
  <c r="T3" i="1"/>
  <c r="Z21" i="2" l="1"/>
  <c r="Y20" i="1"/>
  <c r="S14" i="1" l="1"/>
  <c r="S15" i="1" l="1"/>
  <c r="S16" i="1"/>
  <c r="S17" i="1"/>
  <c r="S18" i="1"/>
  <c r="S19" i="1"/>
  <c r="S20" i="1"/>
  <c r="K46" i="1"/>
  <c r="K45" i="1"/>
  <c r="K44" i="1"/>
  <c r="K43" i="1"/>
  <c r="K42" i="1"/>
  <c r="K41" i="1"/>
  <c r="K40" i="1"/>
  <c r="K39" i="1"/>
  <c r="K55" i="1"/>
  <c r="K54" i="1"/>
  <c r="K53" i="1"/>
  <c r="K52" i="1"/>
  <c r="K51" i="1"/>
  <c r="K50" i="1"/>
  <c r="K49" i="1"/>
  <c r="K48" i="1"/>
  <c r="K37" i="1"/>
  <c r="K36" i="1"/>
  <c r="K35" i="1"/>
  <c r="K34" i="1"/>
  <c r="K33" i="1"/>
  <c r="K32" i="1"/>
  <c r="K31" i="1"/>
  <c r="K30" i="1"/>
  <c r="K28" i="1"/>
  <c r="K27" i="1"/>
  <c r="K26" i="1"/>
  <c r="K25" i="1"/>
  <c r="K24" i="1"/>
  <c r="K23" i="1"/>
  <c r="K22" i="1"/>
  <c r="K21" i="1"/>
  <c r="K19" i="1"/>
  <c r="K18" i="1"/>
  <c r="K17" i="1"/>
  <c r="K16" i="1"/>
  <c r="K15" i="1"/>
  <c r="K14" i="1"/>
  <c r="K13" i="1"/>
  <c r="K12" i="1"/>
  <c r="K4" i="1"/>
  <c r="K5" i="1"/>
  <c r="K6" i="1"/>
  <c r="K7" i="1"/>
  <c r="K8" i="1"/>
  <c r="K9" i="1"/>
  <c r="K10" i="1"/>
  <c r="K3" i="1"/>
  <c r="J10" i="1"/>
  <c r="J9" i="1"/>
  <c r="J8" i="1"/>
  <c r="J7" i="1"/>
  <c r="J6" i="1"/>
  <c r="J5" i="1"/>
  <c r="J4" i="1"/>
  <c r="J3" i="1"/>
  <c r="J19" i="1"/>
  <c r="J18" i="1"/>
  <c r="J17" i="1"/>
  <c r="J16" i="1"/>
  <c r="J15" i="1"/>
  <c r="J14" i="1"/>
  <c r="J13" i="1"/>
  <c r="J12" i="1"/>
  <c r="J28" i="1"/>
  <c r="J27" i="1"/>
  <c r="J26" i="1"/>
  <c r="J25" i="1"/>
  <c r="J24" i="1"/>
  <c r="J23" i="1"/>
  <c r="J22" i="1"/>
  <c r="J21" i="1"/>
  <c r="J37" i="1"/>
  <c r="J36" i="1"/>
  <c r="J35" i="1"/>
  <c r="J34" i="1"/>
  <c r="J33" i="1"/>
  <c r="J32" i="1"/>
  <c r="J31" i="1"/>
  <c r="J30" i="1"/>
  <c r="J46" i="1"/>
  <c r="S10" i="1" s="1"/>
  <c r="J45" i="1"/>
  <c r="S9" i="1" s="1"/>
  <c r="J44" i="1"/>
  <c r="S8" i="1" s="1"/>
  <c r="J43" i="1"/>
  <c r="S7" i="1" s="1"/>
  <c r="J42" i="1"/>
  <c r="S6" i="1" s="1"/>
  <c r="J41" i="1"/>
  <c r="S5" i="1" s="1"/>
  <c r="J40" i="1"/>
  <c r="S4" i="1" s="1"/>
  <c r="J39" i="1"/>
  <c r="S3" i="1" s="1"/>
  <c r="J49" i="1"/>
  <c r="T4" i="1" s="1"/>
  <c r="J50" i="1"/>
  <c r="T5" i="1" s="1"/>
  <c r="J51" i="1"/>
  <c r="T6" i="1" s="1"/>
  <c r="J52" i="1"/>
  <c r="T7" i="1" s="1"/>
  <c r="J53" i="1"/>
  <c r="T8" i="1" s="1"/>
  <c r="J54" i="1"/>
  <c r="J55" i="1"/>
  <c r="J48" i="1"/>
  <c r="Z20" i="1" l="1"/>
  <c r="Z21" i="1" s="1"/>
  <c r="T10" i="1"/>
  <c r="T9" i="1"/>
  <c r="Y10" i="1"/>
  <c r="Y21" i="1" s="1"/>
</calcChain>
</file>

<file path=xl/sharedStrings.xml><?xml version="1.0" encoding="utf-8"?>
<sst xmlns="http://schemas.openxmlformats.org/spreadsheetml/2006/main" count="210" uniqueCount="31">
  <si>
    <t>Relay 1</t>
  </si>
  <si>
    <t>Relay 2</t>
  </si>
  <si>
    <t>Relay 3</t>
  </si>
  <si>
    <t>Relay 4</t>
  </si>
  <si>
    <t>Relay 5</t>
  </si>
  <si>
    <t>Relay 6</t>
  </si>
  <si>
    <t>Relay 7</t>
  </si>
  <si>
    <t>Relay 8</t>
  </si>
  <si>
    <t>AVERAGE</t>
  </si>
  <si>
    <t>STD</t>
  </si>
  <si>
    <t>T</t>
  </si>
  <si>
    <t>i</t>
  </si>
  <si>
    <t>bb</t>
  </si>
  <si>
    <t>AVG</t>
  </si>
  <si>
    <t>SLOPE</t>
  </si>
  <si>
    <t>AVG STD</t>
  </si>
  <si>
    <t>Oliver</t>
  </si>
  <si>
    <t>MK- Day 1</t>
  </si>
  <si>
    <t>MK- Day 2</t>
  </si>
  <si>
    <t>mk1</t>
  </si>
  <si>
    <t>mk2</t>
  </si>
  <si>
    <t>o1</t>
  </si>
  <si>
    <t>Oliver- Day 1</t>
  </si>
  <si>
    <t>c</t>
  </si>
  <si>
    <t>e</t>
  </si>
  <si>
    <t>Time</t>
  </si>
  <si>
    <t>prod</t>
  </si>
  <si>
    <t>mk, kk</t>
  </si>
  <si>
    <t>MK/KK</t>
  </si>
  <si>
    <t>pogo</t>
  </si>
  <si>
    <t>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</si>
</sst>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2" fontId="0" fillId="0" borderId="0" xfId="0" applyNumberFormat="1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953c v 953e, all</a:t>
            </a:r>
            <a:r>
              <a:rPr lang="en-US" baseline="0"/>
              <a:t> days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'953c, 953e'!$B$2</c:f>
              <c:strCache>
                <c:ptCount val="1"/>
                <c:pt idx="0">
                  <c:v>Relay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'953c, 953e'!$A$3:$A$19</c:f>
              <c:strCache>
                <c:ptCount val="17"/>
                <c:pt idx="0">
                  <c:v>c</c:v>
                </c:pt>
                <c:pt idx="1">
                  <c:v>c</c:v>
                </c:pt>
                <c:pt idx="2">
                  <c:v>c</c:v>
                </c:pt>
                <c:pt idx="3">
                  <c:v>c</c:v>
                </c:pt>
                <c:pt idx="4">
                  <c:v>c</c:v>
                </c:pt>
                <c:pt idx="5">
                  <c:v>c</c:v>
                </c:pt>
                <c:pt idx="6">
                  <c:v>c</c:v>
                </c:pt>
                <c:pt idx="7">
                  <c:v>c</c:v>
                </c:pt>
                <c:pt idx="9">
                  <c:v>e</c:v>
                </c:pt>
                <c:pt idx="10">
                  <c:v>e</c:v>
                </c:pt>
                <c:pt idx="11">
                  <c:v>e</c:v>
                </c:pt>
                <c:pt idx="12">
                  <c:v>e</c:v>
                </c:pt>
                <c:pt idx="13">
                  <c:v>e</c:v>
                </c:pt>
                <c:pt idx="14">
                  <c:v>e</c:v>
                </c:pt>
                <c:pt idx="15">
                  <c:v>e</c:v>
                </c:pt>
                <c:pt idx="16">
                  <c:v>e</c:v>
                </c:pt>
              </c:strCache>
            </c:strRef>
          </c:cat>
          <c:val>
            <c:numRef>
              <c:f>'953c, 953e'!$B$3:$B$19</c:f>
              <c:numCache>
                <c:formatCode>0.00E+00</c:formatCode>
                <c:ptCount val="17"/>
                <c:pt idx="0">
                  <c:v>1494</c:v>
                </c:pt>
                <c:pt idx="1">
                  <c:v>926</c:v>
                </c:pt>
                <c:pt idx="2">
                  <c:v>615</c:v>
                </c:pt>
                <c:pt idx="3">
                  <c:v>454</c:v>
                </c:pt>
                <c:pt idx="4">
                  <c:v>368</c:v>
                </c:pt>
                <c:pt idx="5">
                  <c:v>333</c:v>
                </c:pt>
                <c:pt idx="6">
                  <c:v>321</c:v>
                </c:pt>
                <c:pt idx="7">
                  <c:v>330</c:v>
                </c:pt>
                <c:pt idx="9">
                  <c:v>288</c:v>
                </c:pt>
                <c:pt idx="10">
                  <c:v>225</c:v>
                </c:pt>
                <c:pt idx="11">
                  <c:v>200</c:v>
                </c:pt>
                <c:pt idx="12">
                  <c:v>184</c:v>
                </c:pt>
                <c:pt idx="13">
                  <c:v>172</c:v>
                </c:pt>
                <c:pt idx="14">
                  <c:v>167</c:v>
                </c:pt>
                <c:pt idx="15">
                  <c:v>161</c:v>
                </c:pt>
                <c:pt idx="16">
                  <c:v>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D4-4E68-8D48-23F38DB327FE}"/>
            </c:ext>
          </c:extLst>
        </c:ser>
        <c:ser>
          <c:idx val="1"/>
          <c:order val="1"/>
          <c:tx>
            <c:strRef>
              <c:f>'953c, 953e'!$C$2</c:f>
              <c:strCache>
                <c:ptCount val="1"/>
                <c:pt idx="0">
                  <c:v>Relay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'953c, 953e'!$A$3:$A$19</c:f>
              <c:strCache>
                <c:ptCount val="17"/>
                <c:pt idx="0">
                  <c:v>c</c:v>
                </c:pt>
                <c:pt idx="1">
                  <c:v>c</c:v>
                </c:pt>
                <c:pt idx="2">
                  <c:v>c</c:v>
                </c:pt>
                <c:pt idx="3">
                  <c:v>c</c:v>
                </c:pt>
                <c:pt idx="4">
                  <c:v>c</c:v>
                </c:pt>
                <c:pt idx="5">
                  <c:v>c</c:v>
                </c:pt>
                <c:pt idx="6">
                  <c:v>c</c:v>
                </c:pt>
                <c:pt idx="7">
                  <c:v>c</c:v>
                </c:pt>
                <c:pt idx="9">
                  <c:v>e</c:v>
                </c:pt>
                <c:pt idx="10">
                  <c:v>e</c:v>
                </c:pt>
                <c:pt idx="11">
                  <c:v>e</c:v>
                </c:pt>
                <c:pt idx="12">
                  <c:v>e</c:v>
                </c:pt>
                <c:pt idx="13">
                  <c:v>e</c:v>
                </c:pt>
                <c:pt idx="14">
                  <c:v>e</c:v>
                </c:pt>
                <c:pt idx="15">
                  <c:v>e</c:v>
                </c:pt>
                <c:pt idx="16">
                  <c:v>e</c:v>
                </c:pt>
              </c:strCache>
            </c:strRef>
          </c:cat>
          <c:val>
            <c:numRef>
              <c:f>'953c, 953e'!$C$3:$C$19</c:f>
              <c:numCache>
                <c:formatCode>0.00E+00</c:formatCode>
                <c:ptCount val="17"/>
                <c:pt idx="0">
                  <c:v>1596</c:v>
                </c:pt>
                <c:pt idx="1">
                  <c:v>1168</c:v>
                </c:pt>
                <c:pt idx="2">
                  <c:v>994</c:v>
                </c:pt>
                <c:pt idx="3">
                  <c:v>924</c:v>
                </c:pt>
                <c:pt idx="4">
                  <c:v>928</c:v>
                </c:pt>
                <c:pt idx="5">
                  <c:v>965</c:v>
                </c:pt>
                <c:pt idx="6">
                  <c:v>1006</c:v>
                </c:pt>
                <c:pt idx="7">
                  <c:v>1064</c:v>
                </c:pt>
                <c:pt idx="9">
                  <c:v>310</c:v>
                </c:pt>
                <c:pt idx="10">
                  <c:v>216</c:v>
                </c:pt>
                <c:pt idx="11">
                  <c:v>189</c:v>
                </c:pt>
                <c:pt idx="12">
                  <c:v>180</c:v>
                </c:pt>
                <c:pt idx="13">
                  <c:v>170</c:v>
                </c:pt>
                <c:pt idx="14">
                  <c:v>164</c:v>
                </c:pt>
                <c:pt idx="15">
                  <c:v>159</c:v>
                </c:pt>
                <c:pt idx="16">
                  <c:v>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D4-4E68-8D48-23F38DB327FE}"/>
            </c:ext>
          </c:extLst>
        </c:ser>
        <c:ser>
          <c:idx val="2"/>
          <c:order val="2"/>
          <c:tx>
            <c:strRef>
              <c:f>'953c, 953e'!$D$2</c:f>
              <c:strCache>
                <c:ptCount val="1"/>
                <c:pt idx="0">
                  <c:v>Relay 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'953c, 953e'!$A$3:$A$19</c:f>
              <c:strCache>
                <c:ptCount val="17"/>
                <c:pt idx="0">
                  <c:v>c</c:v>
                </c:pt>
                <c:pt idx="1">
                  <c:v>c</c:v>
                </c:pt>
                <c:pt idx="2">
                  <c:v>c</c:v>
                </c:pt>
                <c:pt idx="3">
                  <c:v>c</c:v>
                </c:pt>
                <c:pt idx="4">
                  <c:v>c</c:v>
                </c:pt>
                <c:pt idx="5">
                  <c:v>c</c:v>
                </c:pt>
                <c:pt idx="6">
                  <c:v>c</c:v>
                </c:pt>
                <c:pt idx="7">
                  <c:v>c</c:v>
                </c:pt>
                <c:pt idx="9">
                  <c:v>e</c:v>
                </c:pt>
                <c:pt idx="10">
                  <c:v>e</c:v>
                </c:pt>
                <c:pt idx="11">
                  <c:v>e</c:v>
                </c:pt>
                <c:pt idx="12">
                  <c:v>e</c:v>
                </c:pt>
                <c:pt idx="13">
                  <c:v>e</c:v>
                </c:pt>
                <c:pt idx="14">
                  <c:v>e</c:v>
                </c:pt>
                <c:pt idx="15">
                  <c:v>e</c:v>
                </c:pt>
                <c:pt idx="16">
                  <c:v>e</c:v>
                </c:pt>
              </c:strCache>
            </c:strRef>
          </c:cat>
          <c:val>
            <c:numRef>
              <c:f>'953c, 953e'!$D$3:$D$19</c:f>
              <c:numCache>
                <c:formatCode>0.00E+00</c:formatCode>
                <c:ptCount val="17"/>
                <c:pt idx="0">
                  <c:v>1200</c:v>
                </c:pt>
                <c:pt idx="1">
                  <c:v>971</c:v>
                </c:pt>
                <c:pt idx="2">
                  <c:v>890</c:v>
                </c:pt>
                <c:pt idx="3">
                  <c:v>870</c:v>
                </c:pt>
                <c:pt idx="4">
                  <c:v>885</c:v>
                </c:pt>
                <c:pt idx="5">
                  <c:v>928</c:v>
                </c:pt>
                <c:pt idx="6">
                  <c:v>991</c:v>
                </c:pt>
                <c:pt idx="7">
                  <c:v>1030</c:v>
                </c:pt>
                <c:pt idx="9">
                  <c:v>294</c:v>
                </c:pt>
                <c:pt idx="10">
                  <c:v>202</c:v>
                </c:pt>
                <c:pt idx="11">
                  <c:v>178</c:v>
                </c:pt>
                <c:pt idx="12">
                  <c:v>166</c:v>
                </c:pt>
                <c:pt idx="13">
                  <c:v>157</c:v>
                </c:pt>
                <c:pt idx="14">
                  <c:v>153</c:v>
                </c:pt>
                <c:pt idx="15">
                  <c:v>148</c:v>
                </c:pt>
                <c:pt idx="16">
                  <c:v>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D4-4E68-8D48-23F38DB327FE}"/>
            </c:ext>
          </c:extLst>
        </c:ser>
        <c:ser>
          <c:idx val="3"/>
          <c:order val="3"/>
          <c:tx>
            <c:strRef>
              <c:f>'953c, 953e'!$E$2</c:f>
              <c:strCache>
                <c:ptCount val="1"/>
                <c:pt idx="0">
                  <c:v>Relay 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'953c, 953e'!$A$3:$A$19</c:f>
              <c:strCache>
                <c:ptCount val="17"/>
                <c:pt idx="0">
                  <c:v>c</c:v>
                </c:pt>
                <c:pt idx="1">
                  <c:v>c</c:v>
                </c:pt>
                <c:pt idx="2">
                  <c:v>c</c:v>
                </c:pt>
                <c:pt idx="3">
                  <c:v>c</c:v>
                </c:pt>
                <c:pt idx="4">
                  <c:v>c</c:v>
                </c:pt>
                <c:pt idx="5">
                  <c:v>c</c:v>
                </c:pt>
                <c:pt idx="6">
                  <c:v>c</c:v>
                </c:pt>
                <c:pt idx="7">
                  <c:v>c</c:v>
                </c:pt>
                <c:pt idx="9">
                  <c:v>e</c:v>
                </c:pt>
                <c:pt idx="10">
                  <c:v>e</c:v>
                </c:pt>
                <c:pt idx="11">
                  <c:v>e</c:v>
                </c:pt>
                <c:pt idx="12">
                  <c:v>e</c:v>
                </c:pt>
                <c:pt idx="13">
                  <c:v>e</c:v>
                </c:pt>
                <c:pt idx="14">
                  <c:v>e</c:v>
                </c:pt>
                <c:pt idx="15">
                  <c:v>e</c:v>
                </c:pt>
                <c:pt idx="16">
                  <c:v>e</c:v>
                </c:pt>
              </c:strCache>
            </c:strRef>
          </c:cat>
          <c:val>
            <c:numRef>
              <c:f>'953c, 953e'!$E$3:$E$19</c:f>
              <c:numCache>
                <c:formatCode>0.00E+00</c:formatCode>
                <c:ptCount val="17"/>
                <c:pt idx="0">
                  <c:v>200</c:v>
                </c:pt>
                <c:pt idx="1">
                  <c:v>165</c:v>
                </c:pt>
                <c:pt idx="2">
                  <c:v>144</c:v>
                </c:pt>
                <c:pt idx="3">
                  <c:v>130</c:v>
                </c:pt>
                <c:pt idx="4">
                  <c:v>122</c:v>
                </c:pt>
                <c:pt idx="5">
                  <c:v>119</c:v>
                </c:pt>
                <c:pt idx="6">
                  <c:v>122</c:v>
                </c:pt>
                <c:pt idx="7">
                  <c:v>116</c:v>
                </c:pt>
                <c:pt idx="9">
                  <c:v>289</c:v>
                </c:pt>
                <c:pt idx="10">
                  <c:v>216</c:v>
                </c:pt>
                <c:pt idx="11">
                  <c:v>185</c:v>
                </c:pt>
                <c:pt idx="12">
                  <c:v>170</c:v>
                </c:pt>
                <c:pt idx="13">
                  <c:v>159</c:v>
                </c:pt>
                <c:pt idx="14">
                  <c:v>153</c:v>
                </c:pt>
                <c:pt idx="15">
                  <c:v>147</c:v>
                </c:pt>
                <c:pt idx="16">
                  <c:v>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D4-4E68-8D48-23F38DB327FE}"/>
            </c:ext>
          </c:extLst>
        </c:ser>
        <c:ser>
          <c:idx val="4"/>
          <c:order val="4"/>
          <c:tx>
            <c:strRef>
              <c:f>'953c, 953e'!$F$2</c:f>
              <c:strCache>
                <c:ptCount val="1"/>
                <c:pt idx="0">
                  <c:v>Relay 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'953c, 953e'!$A$3:$A$19</c:f>
              <c:strCache>
                <c:ptCount val="17"/>
                <c:pt idx="0">
                  <c:v>c</c:v>
                </c:pt>
                <c:pt idx="1">
                  <c:v>c</c:v>
                </c:pt>
                <c:pt idx="2">
                  <c:v>c</c:v>
                </c:pt>
                <c:pt idx="3">
                  <c:v>c</c:v>
                </c:pt>
                <c:pt idx="4">
                  <c:v>c</c:v>
                </c:pt>
                <c:pt idx="5">
                  <c:v>c</c:v>
                </c:pt>
                <c:pt idx="6">
                  <c:v>c</c:v>
                </c:pt>
                <c:pt idx="7">
                  <c:v>c</c:v>
                </c:pt>
                <c:pt idx="9">
                  <c:v>e</c:v>
                </c:pt>
                <c:pt idx="10">
                  <c:v>e</c:v>
                </c:pt>
                <c:pt idx="11">
                  <c:v>e</c:v>
                </c:pt>
                <c:pt idx="12">
                  <c:v>e</c:v>
                </c:pt>
                <c:pt idx="13">
                  <c:v>e</c:v>
                </c:pt>
                <c:pt idx="14">
                  <c:v>e</c:v>
                </c:pt>
                <c:pt idx="15">
                  <c:v>e</c:v>
                </c:pt>
                <c:pt idx="16">
                  <c:v>e</c:v>
                </c:pt>
              </c:strCache>
            </c:strRef>
          </c:cat>
          <c:val>
            <c:numRef>
              <c:f>'953c, 953e'!$F$3:$F$19</c:f>
              <c:numCache>
                <c:formatCode>0.00E+00</c:formatCode>
                <c:ptCount val="17"/>
                <c:pt idx="0">
                  <c:v>3527</c:v>
                </c:pt>
                <c:pt idx="1">
                  <c:v>3039</c:v>
                </c:pt>
                <c:pt idx="2">
                  <c:v>2593</c:v>
                </c:pt>
                <c:pt idx="3">
                  <c:v>2294</c:v>
                </c:pt>
                <c:pt idx="4">
                  <c:v>2074</c:v>
                </c:pt>
                <c:pt idx="5">
                  <c:v>1904</c:v>
                </c:pt>
                <c:pt idx="6">
                  <c:v>1919</c:v>
                </c:pt>
                <c:pt idx="7">
                  <c:v>1933</c:v>
                </c:pt>
                <c:pt idx="9">
                  <c:v>794</c:v>
                </c:pt>
                <c:pt idx="10">
                  <c:v>584</c:v>
                </c:pt>
                <c:pt idx="11">
                  <c:v>313</c:v>
                </c:pt>
                <c:pt idx="12">
                  <c:v>236</c:v>
                </c:pt>
                <c:pt idx="13">
                  <c:v>201</c:v>
                </c:pt>
                <c:pt idx="14">
                  <c:v>183</c:v>
                </c:pt>
                <c:pt idx="15">
                  <c:v>171</c:v>
                </c:pt>
                <c:pt idx="16">
                  <c:v>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D4-4E68-8D48-23F38DB327FE}"/>
            </c:ext>
          </c:extLst>
        </c:ser>
        <c:ser>
          <c:idx val="5"/>
          <c:order val="5"/>
          <c:tx>
            <c:strRef>
              <c:f>'953c, 953e'!$G$2</c:f>
              <c:strCache>
                <c:ptCount val="1"/>
                <c:pt idx="0">
                  <c:v>Relay 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'953c, 953e'!$A$3:$A$19</c:f>
              <c:strCache>
                <c:ptCount val="17"/>
                <c:pt idx="0">
                  <c:v>c</c:v>
                </c:pt>
                <c:pt idx="1">
                  <c:v>c</c:v>
                </c:pt>
                <c:pt idx="2">
                  <c:v>c</c:v>
                </c:pt>
                <c:pt idx="3">
                  <c:v>c</c:v>
                </c:pt>
                <c:pt idx="4">
                  <c:v>c</c:v>
                </c:pt>
                <c:pt idx="5">
                  <c:v>c</c:v>
                </c:pt>
                <c:pt idx="6">
                  <c:v>c</c:v>
                </c:pt>
                <c:pt idx="7">
                  <c:v>c</c:v>
                </c:pt>
                <c:pt idx="9">
                  <c:v>e</c:v>
                </c:pt>
                <c:pt idx="10">
                  <c:v>e</c:v>
                </c:pt>
                <c:pt idx="11">
                  <c:v>e</c:v>
                </c:pt>
                <c:pt idx="12">
                  <c:v>e</c:v>
                </c:pt>
                <c:pt idx="13">
                  <c:v>e</c:v>
                </c:pt>
                <c:pt idx="14">
                  <c:v>e</c:v>
                </c:pt>
                <c:pt idx="15">
                  <c:v>e</c:v>
                </c:pt>
                <c:pt idx="16">
                  <c:v>e</c:v>
                </c:pt>
              </c:strCache>
            </c:strRef>
          </c:cat>
          <c:val>
            <c:numRef>
              <c:f>'953c, 953e'!$G$3:$G$19</c:f>
              <c:numCache>
                <c:formatCode>0.00E+00</c:formatCode>
                <c:ptCount val="17"/>
                <c:pt idx="0">
                  <c:v>843</c:v>
                </c:pt>
                <c:pt idx="1">
                  <c:v>382</c:v>
                </c:pt>
                <c:pt idx="2">
                  <c:v>228</c:v>
                </c:pt>
                <c:pt idx="3">
                  <c:v>167</c:v>
                </c:pt>
                <c:pt idx="4">
                  <c:v>146</c:v>
                </c:pt>
                <c:pt idx="5">
                  <c:v>137</c:v>
                </c:pt>
                <c:pt idx="6">
                  <c:v>132</c:v>
                </c:pt>
                <c:pt idx="7">
                  <c:v>125</c:v>
                </c:pt>
                <c:pt idx="9">
                  <c:v>1317</c:v>
                </c:pt>
                <c:pt idx="10">
                  <c:v>852</c:v>
                </c:pt>
                <c:pt idx="11">
                  <c:v>500</c:v>
                </c:pt>
                <c:pt idx="12">
                  <c:v>352</c:v>
                </c:pt>
                <c:pt idx="13">
                  <c:v>277</c:v>
                </c:pt>
                <c:pt idx="14">
                  <c:v>235</c:v>
                </c:pt>
                <c:pt idx="15">
                  <c:v>211</c:v>
                </c:pt>
                <c:pt idx="16">
                  <c:v>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AD4-4E68-8D48-23F38DB327FE}"/>
            </c:ext>
          </c:extLst>
        </c:ser>
        <c:ser>
          <c:idx val="6"/>
          <c:order val="6"/>
          <c:tx>
            <c:strRef>
              <c:f>'953c, 953e'!$H$2</c:f>
              <c:strCache>
                <c:ptCount val="1"/>
                <c:pt idx="0">
                  <c:v>Relay 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'953c, 953e'!$A$3:$A$19</c:f>
              <c:strCache>
                <c:ptCount val="17"/>
                <c:pt idx="0">
                  <c:v>c</c:v>
                </c:pt>
                <c:pt idx="1">
                  <c:v>c</c:v>
                </c:pt>
                <c:pt idx="2">
                  <c:v>c</c:v>
                </c:pt>
                <c:pt idx="3">
                  <c:v>c</c:v>
                </c:pt>
                <c:pt idx="4">
                  <c:v>c</c:v>
                </c:pt>
                <c:pt idx="5">
                  <c:v>c</c:v>
                </c:pt>
                <c:pt idx="6">
                  <c:v>c</c:v>
                </c:pt>
                <c:pt idx="7">
                  <c:v>c</c:v>
                </c:pt>
                <c:pt idx="9">
                  <c:v>e</c:v>
                </c:pt>
                <c:pt idx="10">
                  <c:v>e</c:v>
                </c:pt>
                <c:pt idx="11">
                  <c:v>e</c:v>
                </c:pt>
                <c:pt idx="12">
                  <c:v>e</c:v>
                </c:pt>
                <c:pt idx="13">
                  <c:v>e</c:v>
                </c:pt>
                <c:pt idx="14">
                  <c:v>e</c:v>
                </c:pt>
                <c:pt idx="15">
                  <c:v>e</c:v>
                </c:pt>
                <c:pt idx="16">
                  <c:v>e</c:v>
                </c:pt>
              </c:strCache>
            </c:strRef>
          </c:cat>
          <c:val>
            <c:numRef>
              <c:f>'953c, 953e'!$H$3:$H$19</c:f>
              <c:numCache>
                <c:formatCode>0.00E+00</c:formatCode>
                <c:ptCount val="17"/>
                <c:pt idx="0">
                  <c:v>738</c:v>
                </c:pt>
                <c:pt idx="1">
                  <c:v>183</c:v>
                </c:pt>
                <c:pt idx="2">
                  <c:v>111</c:v>
                </c:pt>
                <c:pt idx="3">
                  <c:v>96</c:v>
                </c:pt>
                <c:pt idx="4">
                  <c:v>86</c:v>
                </c:pt>
                <c:pt idx="5">
                  <c:v>79</c:v>
                </c:pt>
                <c:pt idx="6">
                  <c:v>74</c:v>
                </c:pt>
                <c:pt idx="7">
                  <c:v>70</c:v>
                </c:pt>
                <c:pt idx="9">
                  <c:v>1678</c:v>
                </c:pt>
                <c:pt idx="10">
                  <c:v>1140</c:v>
                </c:pt>
                <c:pt idx="11">
                  <c:v>757</c:v>
                </c:pt>
                <c:pt idx="12">
                  <c:v>585</c:v>
                </c:pt>
                <c:pt idx="13">
                  <c:v>495</c:v>
                </c:pt>
                <c:pt idx="14">
                  <c:v>437</c:v>
                </c:pt>
                <c:pt idx="15">
                  <c:v>397</c:v>
                </c:pt>
                <c:pt idx="16">
                  <c:v>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AD4-4E68-8D48-23F38DB327FE}"/>
            </c:ext>
          </c:extLst>
        </c:ser>
        <c:ser>
          <c:idx val="7"/>
          <c:order val="7"/>
          <c:tx>
            <c:strRef>
              <c:f>'953c, 953e'!$I$2</c:f>
              <c:strCache>
                <c:ptCount val="1"/>
                <c:pt idx="0">
                  <c:v>Relay 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'953c, 953e'!$A$3:$A$19</c:f>
              <c:strCache>
                <c:ptCount val="17"/>
                <c:pt idx="0">
                  <c:v>c</c:v>
                </c:pt>
                <c:pt idx="1">
                  <c:v>c</c:v>
                </c:pt>
                <c:pt idx="2">
                  <c:v>c</c:v>
                </c:pt>
                <c:pt idx="3">
                  <c:v>c</c:v>
                </c:pt>
                <c:pt idx="4">
                  <c:v>c</c:v>
                </c:pt>
                <c:pt idx="5">
                  <c:v>c</c:v>
                </c:pt>
                <c:pt idx="6">
                  <c:v>c</c:v>
                </c:pt>
                <c:pt idx="7">
                  <c:v>c</c:v>
                </c:pt>
                <c:pt idx="9">
                  <c:v>e</c:v>
                </c:pt>
                <c:pt idx="10">
                  <c:v>e</c:v>
                </c:pt>
                <c:pt idx="11">
                  <c:v>e</c:v>
                </c:pt>
                <c:pt idx="12">
                  <c:v>e</c:v>
                </c:pt>
                <c:pt idx="13">
                  <c:v>e</c:v>
                </c:pt>
                <c:pt idx="14">
                  <c:v>e</c:v>
                </c:pt>
                <c:pt idx="15">
                  <c:v>e</c:v>
                </c:pt>
                <c:pt idx="16">
                  <c:v>e</c:v>
                </c:pt>
              </c:strCache>
            </c:strRef>
          </c:cat>
          <c:val>
            <c:numRef>
              <c:f>'953c, 953e'!$I$3:$I$19</c:f>
              <c:numCache>
                <c:formatCode>0.00E+00</c:formatCode>
                <c:ptCount val="17"/>
                <c:pt idx="0">
                  <c:v>575</c:v>
                </c:pt>
                <c:pt idx="1">
                  <c:v>167</c:v>
                </c:pt>
                <c:pt idx="2">
                  <c:v>117</c:v>
                </c:pt>
                <c:pt idx="3">
                  <c:v>104</c:v>
                </c:pt>
                <c:pt idx="4">
                  <c:v>93</c:v>
                </c:pt>
                <c:pt idx="5">
                  <c:v>86</c:v>
                </c:pt>
                <c:pt idx="6">
                  <c:v>80</c:v>
                </c:pt>
                <c:pt idx="7">
                  <c:v>76</c:v>
                </c:pt>
                <c:pt idx="9">
                  <c:v>2413</c:v>
                </c:pt>
                <c:pt idx="10">
                  <c:v>1054</c:v>
                </c:pt>
                <c:pt idx="11">
                  <c:v>610</c:v>
                </c:pt>
                <c:pt idx="12">
                  <c:v>405</c:v>
                </c:pt>
                <c:pt idx="13">
                  <c:v>302</c:v>
                </c:pt>
                <c:pt idx="14">
                  <c:v>247</c:v>
                </c:pt>
                <c:pt idx="15">
                  <c:v>216</c:v>
                </c:pt>
                <c:pt idx="16">
                  <c:v>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AD4-4E68-8D48-23F38DB32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1196159"/>
        <c:axId val="618284927"/>
        <c:extLst>
          <c:ext xmlns:c15="http://schemas.microsoft.com/office/drawing/2012/chart" uri="{02D57815-91ED-43cb-92C2-25804820EDAC}">
            <c15:filteredLineSeries>
              <c15:ser>
                <c:idx val="8"/>
                <c:order val="8"/>
                <c:tx>
                  <c:strRef>
                    <c:extLst>
                      <c:ext uri="{02D57815-91ED-43cb-92C2-25804820EDAC}">
                        <c15:formulaRef>
                          <c15:sqref>'953c, 953e'!$J$2</c15:sqref>
                        </c15:formulaRef>
                      </c:ext>
                    </c:extLst>
                    <c:strCache>
                      <c:ptCount val="1"/>
                      <c:pt idx="0">
                        <c:v>AVERAGE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'953c, 953e'!$A$3:$A$19</c15:sqref>
                        </c15:formulaRef>
                      </c:ext>
                    </c:extLst>
                    <c:strCache>
                      <c:ptCount val="17"/>
                      <c:pt idx="0">
                        <c:v>c</c:v>
                      </c:pt>
                      <c:pt idx="1">
                        <c:v>c</c:v>
                      </c:pt>
                      <c:pt idx="2">
                        <c:v>c</c:v>
                      </c:pt>
                      <c:pt idx="3">
                        <c:v>c</c:v>
                      </c:pt>
                      <c:pt idx="4">
                        <c:v>c</c:v>
                      </c:pt>
                      <c:pt idx="5">
                        <c:v>c</c:v>
                      </c:pt>
                      <c:pt idx="6">
                        <c:v>c</c:v>
                      </c:pt>
                      <c:pt idx="7">
                        <c:v>c</c:v>
                      </c:pt>
                      <c:pt idx="9">
                        <c:v>e</c:v>
                      </c:pt>
                      <c:pt idx="10">
                        <c:v>e</c:v>
                      </c:pt>
                      <c:pt idx="11">
                        <c:v>e</c:v>
                      </c:pt>
                      <c:pt idx="12">
                        <c:v>e</c:v>
                      </c:pt>
                      <c:pt idx="13">
                        <c:v>e</c:v>
                      </c:pt>
                      <c:pt idx="14">
                        <c:v>e</c:v>
                      </c:pt>
                      <c:pt idx="15">
                        <c:v>e</c:v>
                      </c:pt>
                      <c:pt idx="16">
                        <c:v>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'953c, 953e'!$J$3:$J$19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1271.625</c:v>
                      </c:pt>
                      <c:pt idx="1">
                        <c:v>875.125</c:v>
                      </c:pt>
                      <c:pt idx="2">
                        <c:v>711.5</c:v>
                      </c:pt>
                      <c:pt idx="3">
                        <c:v>629.875</c:v>
                      </c:pt>
                      <c:pt idx="4">
                        <c:v>587.75</c:v>
                      </c:pt>
                      <c:pt idx="5">
                        <c:v>568.875</c:v>
                      </c:pt>
                      <c:pt idx="6">
                        <c:v>580.625</c:v>
                      </c:pt>
                      <c:pt idx="7">
                        <c:v>593</c:v>
                      </c:pt>
                      <c:pt idx="9">
                        <c:v>922.875</c:v>
                      </c:pt>
                      <c:pt idx="10">
                        <c:v>561.125</c:v>
                      </c:pt>
                      <c:pt idx="11">
                        <c:v>366.5</c:v>
                      </c:pt>
                      <c:pt idx="12">
                        <c:v>284.75</c:v>
                      </c:pt>
                      <c:pt idx="13">
                        <c:v>241.625</c:v>
                      </c:pt>
                      <c:pt idx="14">
                        <c:v>217.375</c:v>
                      </c:pt>
                      <c:pt idx="15">
                        <c:v>201.25</c:v>
                      </c:pt>
                      <c:pt idx="16">
                        <c:v>192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8-DAD4-4E68-8D48-23F38DB327FE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'953c, 953e'!$K$2</c15:sqref>
                        </c15:formulaRef>
                      </c:ext>
                    </c:extLst>
                    <c:strCache>
                      <c:ptCount val="1"/>
                      <c:pt idx="0">
                        <c:v>STD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'953c, 953e'!$A$3:$A$19</c15:sqref>
                        </c15:formulaRef>
                      </c:ext>
                    </c:extLst>
                    <c:strCache>
                      <c:ptCount val="17"/>
                      <c:pt idx="0">
                        <c:v>c</c:v>
                      </c:pt>
                      <c:pt idx="1">
                        <c:v>c</c:v>
                      </c:pt>
                      <c:pt idx="2">
                        <c:v>c</c:v>
                      </c:pt>
                      <c:pt idx="3">
                        <c:v>c</c:v>
                      </c:pt>
                      <c:pt idx="4">
                        <c:v>c</c:v>
                      </c:pt>
                      <c:pt idx="5">
                        <c:v>c</c:v>
                      </c:pt>
                      <c:pt idx="6">
                        <c:v>c</c:v>
                      </c:pt>
                      <c:pt idx="7">
                        <c:v>c</c:v>
                      </c:pt>
                      <c:pt idx="9">
                        <c:v>e</c:v>
                      </c:pt>
                      <c:pt idx="10">
                        <c:v>e</c:v>
                      </c:pt>
                      <c:pt idx="11">
                        <c:v>e</c:v>
                      </c:pt>
                      <c:pt idx="12">
                        <c:v>e</c:v>
                      </c:pt>
                      <c:pt idx="13">
                        <c:v>e</c:v>
                      </c:pt>
                      <c:pt idx="14">
                        <c:v>e</c:v>
                      </c:pt>
                      <c:pt idx="15">
                        <c:v>e</c:v>
                      </c:pt>
                      <c:pt idx="16">
                        <c:v>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'953c, 953e'!$K$3:$K$19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958.42695828894546</c:v>
                      </c:pt>
                      <c:pt idx="1">
                        <c:v>901.93118328118578</c:v>
                      </c:pt>
                      <c:pt idx="2">
                        <c:v>785.08614177044296</c:v>
                      </c:pt>
                      <c:pt idx="3">
                        <c:v>704.45979968696577</c:v>
                      </c:pt>
                      <c:pt idx="4">
                        <c:v>649.0332714892204</c:v>
                      </c:pt>
                      <c:pt idx="5">
                        <c:v>610.95528426800604</c:v>
                      </c:pt>
                      <c:pt idx="6">
                        <c:v>625.1899586325743</c:v>
                      </c:pt>
                      <c:pt idx="7">
                        <c:v>638.84172531230297</c:v>
                      </c:pt>
                      <c:pt idx="9">
                        <c:v>753.20920691066965</c:v>
                      </c:pt>
                      <c:pt idx="10">
                        <c:v>378.04213968154397</c:v>
                      </c:pt>
                      <c:pt idx="11">
                        <c:v>212.18211517467725</c:v>
                      </c:pt>
                      <c:pt idx="12">
                        <c:v>141.37781827429649</c:v>
                      </c:pt>
                      <c:pt idx="13">
                        <c:v>108.80709708010778</c:v>
                      </c:pt>
                      <c:pt idx="14">
                        <c:v>89.638074360173533</c:v>
                      </c:pt>
                      <c:pt idx="15">
                        <c:v>78.046060118368558</c:v>
                      </c:pt>
                      <c:pt idx="16">
                        <c:v>72.291078287711272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AD4-4E68-8D48-23F38DB327FE}"/>
                  </c:ext>
                </c:extLst>
              </c15:ser>
            </c15:filteredLineSeries>
          </c:ext>
        </c:extLst>
      </c:lineChart>
      <c:catAx>
        <c:axId val="107119615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0-320</a:t>
                </a:r>
                <a:r>
                  <a:rPr lang="en-US" baseline="0"/>
                  <a:t> seconds (40 second increments)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284927"/>
        <c:crosses val="autoZero"/>
        <c:auto val="1"/>
        <c:lblAlgn val="ctr"/>
        <c:lblOffset val="100"/>
        <c:noMultiLvlLbl val="0"/>
      </c:catAx>
      <c:valAx>
        <c:axId val="618284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Ohms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1196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953c</a:t>
            </a:r>
            <a:r>
              <a:rPr lang="en-US" baseline="0"/>
              <a:t> v 953e, combined channels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071216097987752"/>
          <c:y val="0.27777777777777779"/>
          <c:w val="0.78698840769903766"/>
          <c:h val="0.56029308836395453"/>
        </c:manualLayout>
      </c:layout>
      <c:lineChart>
        <c:grouping val="standard"/>
        <c:varyColors val="0"/>
        <c:ser>
          <c:idx val="0"/>
          <c:order val="0"/>
          <c:tx>
            <c:strRef>
              <c:f>'953c, 953e'!$O$2</c:f>
              <c:strCache>
                <c:ptCount val="1"/>
                <c:pt idx="0">
                  <c:v>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'953c, 953e'!$M$3:$N$10</c:f>
              <c:multiLvlStrCache>
                <c:ptCount val="8"/>
                <c:lvl>
                  <c:pt idx="0">
                    <c:v>40.00</c:v>
                  </c:pt>
                  <c:pt idx="1">
                    <c:v>80.00</c:v>
                  </c:pt>
                  <c:pt idx="2">
                    <c:v>120.00</c:v>
                  </c:pt>
                  <c:pt idx="3">
                    <c:v>160.00</c:v>
                  </c:pt>
                  <c:pt idx="4">
                    <c:v>200.00</c:v>
                  </c:pt>
                  <c:pt idx="5">
                    <c:v>240.00</c:v>
                  </c:pt>
                  <c:pt idx="6">
                    <c:v>280.00</c:v>
                  </c:pt>
                  <c:pt idx="7">
                    <c:v>320.00</c:v>
                  </c:pt>
                </c:lvl>
                <c:lvl>
                  <c:pt idx="0">
                    <c:v>Time</c:v>
                  </c:pt>
                </c:lvl>
              </c:multiLvlStrCache>
            </c:multiLvlStrRef>
          </c:cat>
          <c:val>
            <c:numRef>
              <c:f>'953c, 953e'!$O$3:$O$10</c:f>
              <c:numCache>
                <c:formatCode>0.00</c:formatCode>
                <c:ptCount val="8"/>
                <c:pt idx="0">
                  <c:v>1271.625</c:v>
                </c:pt>
                <c:pt idx="1">
                  <c:v>875.125</c:v>
                </c:pt>
                <c:pt idx="2">
                  <c:v>711.5</c:v>
                </c:pt>
                <c:pt idx="3">
                  <c:v>629.875</c:v>
                </c:pt>
                <c:pt idx="4">
                  <c:v>587.75</c:v>
                </c:pt>
                <c:pt idx="5">
                  <c:v>568.875</c:v>
                </c:pt>
                <c:pt idx="6">
                  <c:v>580.625</c:v>
                </c:pt>
                <c:pt idx="7">
                  <c:v>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8F-4F7D-AEC3-633D9982ADD7}"/>
            </c:ext>
          </c:extLst>
        </c:ser>
        <c:ser>
          <c:idx val="1"/>
          <c:order val="1"/>
          <c:tx>
            <c:strRef>
              <c:f>'953c, 953e'!$P$2</c:f>
              <c:strCache>
                <c:ptCount val="1"/>
                <c:pt idx="0">
                  <c:v>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'953c, 953e'!$M$3:$N$10</c:f>
              <c:multiLvlStrCache>
                <c:ptCount val="8"/>
                <c:lvl>
                  <c:pt idx="0">
                    <c:v>40.00</c:v>
                  </c:pt>
                  <c:pt idx="1">
                    <c:v>80.00</c:v>
                  </c:pt>
                  <c:pt idx="2">
                    <c:v>120.00</c:v>
                  </c:pt>
                  <c:pt idx="3">
                    <c:v>160.00</c:v>
                  </c:pt>
                  <c:pt idx="4">
                    <c:v>200.00</c:v>
                  </c:pt>
                  <c:pt idx="5">
                    <c:v>240.00</c:v>
                  </c:pt>
                  <c:pt idx="6">
                    <c:v>280.00</c:v>
                  </c:pt>
                  <c:pt idx="7">
                    <c:v>320.00</c:v>
                  </c:pt>
                </c:lvl>
                <c:lvl>
                  <c:pt idx="0">
                    <c:v>Time</c:v>
                  </c:pt>
                </c:lvl>
              </c:multiLvlStrCache>
            </c:multiLvlStrRef>
          </c:cat>
          <c:val>
            <c:numRef>
              <c:f>'953c, 953e'!$P$3:$P$10</c:f>
              <c:numCache>
                <c:formatCode>0.00</c:formatCode>
                <c:ptCount val="8"/>
                <c:pt idx="0">
                  <c:v>922.875</c:v>
                </c:pt>
                <c:pt idx="1">
                  <c:v>561.125</c:v>
                </c:pt>
                <c:pt idx="2">
                  <c:v>366.5</c:v>
                </c:pt>
                <c:pt idx="3">
                  <c:v>284.75</c:v>
                </c:pt>
                <c:pt idx="4">
                  <c:v>241.625</c:v>
                </c:pt>
                <c:pt idx="5">
                  <c:v>217.375</c:v>
                </c:pt>
                <c:pt idx="6">
                  <c:v>201.25</c:v>
                </c:pt>
                <c:pt idx="7">
                  <c:v>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8F-4F7D-AEC3-633D9982A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5003567"/>
        <c:axId val="746946095"/>
      </c:lineChart>
      <c:catAx>
        <c:axId val="1085003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946095"/>
        <c:crosses val="autoZero"/>
        <c:auto val="1"/>
        <c:lblAlgn val="ctr"/>
        <c:lblOffset val="100"/>
        <c:noMultiLvlLbl val="0"/>
      </c:catAx>
      <c:valAx>
        <c:axId val="746946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003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953i v prod, all days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'953i, prod'!$B$2</c:f>
              <c:strCache>
                <c:ptCount val="1"/>
                <c:pt idx="0">
                  <c:v>Relay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'953i, prod'!$A$3:$A$19</c:f>
              <c:strCache>
                <c:ptCount val="17"/>
                <c:pt idx="0">
                  <c:v>i</c:v>
                </c:pt>
                <c:pt idx="1">
                  <c:v>i</c:v>
                </c:pt>
                <c:pt idx="2">
                  <c:v>i</c:v>
                </c:pt>
                <c:pt idx="3">
                  <c:v>i</c:v>
                </c:pt>
                <c:pt idx="4">
                  <c:v>i</c:v>
                </c:pt>
                <c:pt idx="5">
                  <c:v>i</c:v>
                </c:pt>
                <c:pt idx="6">
                  <c:v>i</c:v>
                </c:pt>
                <c:pt idx="7">
                  <c:v>i</c:v>
                </c:pt>
                <c:pt idx="9">
                  <c:v>prod</c:v>
                </c:pt>
                <c:pt idx="10">
                  <c:v>prod</c:v>
                </c:pt>
                <c:pt idx="11">
                  <c:v>prod</c:v>
                </c:pt>
                <c:pt idx="12">
                  <c:v>prod</c:v>
                </c:pt>
                <c:pt idx="13">
                  <c:v>prod</c:v>
                </c:pt>
                <c:pt idx="14">
                  <c:v>prod</c:v>
                </c:pt>
                <c:pt idx="15">
                  <c:v>prod</c:v>
                </c:pt>
                <c:pt idx="16">
                  <c:v>prod</c:v>
                </c:pt>
              </c:strCache>
            </c:strRef>
          </c:cat>
          <c:val>
            <c:numRef>
              <c:f>'953i, prod'!$B$3:$B$19</c:f>
              <c:numCache>
                <c:formatCode>0.00E+00</c:formatCode>
                <c:ptCount val="17"/>
                <c:pt idx="0">
                  <c:v>5216</c:v>
                </c:pt>
                <c:pt idx="1">
                  <c:v>4132</c:v>
                </c:pt>
                <c:pt idx="2">
                  <c:v>3720</c:v>
                </c:pt>
                <c:pt idx="3">
                  <c:v>3405</c:v>
                </c:pt>
                <c:pt idx="4">
                  <c:v>3160</c:v>
                </c:pt>
                <c:pt idx="5">
                  <c:v>2842</c:v>
                </c:pt>
                <c:pt idx="6">
                  <c:v>2650</c:v>
                </c:pt>
                <c:pt idx="7">
                  <c:v>2451</c:v>
                </c:pt>
                <c:pt idx="9">
                  <c:v>2554</c:v>
                </c:pt>
                <c:pt idx="10">
                  <c:v>2225</c:v>
                </c:pt>
                <c:pt idx="11">
                  <c:v>2095</c:v>
                </c:pt>
                <c:pt idx="12">
                  <c:v>2000</c:v>
                </c:pt>
                <c:pt idx="13">
                  <c:v>1911</c:v>
                </c:pt>
                <c:pt idx="14">
                  <c:v>1854</c:v>
                </c:pt>
                <c:pt idx="15">
                  <c:v>1796</c:v>
                </c:pt>
                <c:pt idx="16">
                  <c:v>1749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66-4FE9-B030-23F826572655}"/>
            </c:ext>
          </c:extLst>
        </c:ser>
        <c:ser>
          <c:idx val="1"/>
          <c:order val="1"/>
          <c:tx>
            <c:strRef>
              <c:f>'953i, prod'!$C$2</c:f>
              <c:strCache>
                <c:ptCount val="1"/>
                <c:pt idx="0">
                  <c:v>Relay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'953i, prod'!$A$3:$A$19</c:f>
              <c:strCache>
                <c:ptCount val="17"/>
                <c:pt idx="0">
                  <c:v>i</c:v>
                </c:pt>
                <c:pt idx="1">
                  <c:v>i</c:v>
                </c:pt>
                <c:pt idx="2">
                  <c:v>i</c:v>
                </c:pt>
                <c:pt idx="3">
                  <c:v>i</c:v>
                </c:pt>
                <c:pt idx="4">
                  <c:v>i</c:v>
                </c:pt>
                <c:pt idx="5">
                  <c:v>i</c:v>
                </c:pt>
                <c:pt idx="6">
                  <c:v>i</c:v>
                </c:pt>
                <c:pt idx="7">
                  <c:v>i</c:v>
                </c:pt>
                <c:pt idx="9">
                  <c:v>prod</c:v>
                </c:pt>
                <c:pt idx="10">
                  <c:v>prod</c:v>
                </c:pt>
                <c:pt idx="11">
                  <c:v>prod</c:v>
                </c:pt>
                <c:pt idx="12">
                  <c:v>prod</c:v>
                </c:pt>
                <c:pt idx="13">
                  <c:v>prod</c:v>
                </c:pt>
                <c:pt idx="14">
                  <c:v>prod</c:v>
                </c:pt>
                <c:pt idx="15">
                  <c:v>prod</c:v>
                </c:pt>
                <c:pt idx="16">
                  <c:v>prod</c:v>
                </c:pt>
              </c:strCache>
            </c:strRef>
          </c:cat>
          <c:val>
            <c:numRef>
              <c:f>'953i, prod'!$C$3:$C$19</c:f>
              <c:numCache>
                <c:formatCode>0.00E+00</c:formatCode>
                <c:ptCount val="17"/>
                <c:pt idx="0">
                  <c:v>5530</c:v>
                </c:pt>
                <c:pt idx="1">
                  <c:v>4851</c:v>
                </c:pt>
                <c:pt idx="2">
                  <c:v>4645</c:v>
                </c:pt>
                <c:pt idx="3">
                  <c:v>4486</c:v>
                </c:pt>
                <c:pt idx="4">
                  <c:v>4333</c:v>
                </c:pt>
                <c:pt idx="5">
                  <c:v>4123</c:v>
                </c:pt>
                <c:pt idx="6">
                  <c:v>3952</c:v>
                </c:pt>
                <c:pt idx="7">
                  <c:v>3756</c:v>
                </c:pt>
                <c:pt idx="9">
                  <c:v>2403</c:v>
                </c:pt>
                <c:pt idx="10">
                  <c:v>2083</c:v>
                </c:pt>
                <c:pt idx="11">
                  <c:v>1936</c:v>
                </c:pt>
                <c:pt idx="12">
                  <c:v>1834</c:v>
                </c:pt>
                <c:pt idx="13">
                  <c:v>1758</c:v>
                </c:pt>
                <c:pt idx="14">
                  <c:v>1686</c:v>
                </c:pt>
                <c:pt idx="15">
                  <c:v>1629</c:v>
                </c:pt>
                <c:pt idx="16">
                  <c:v>1572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66-4FE9-B030-23F826572655}"/>
            </c:ext>
          </c:extLst>
        </c:ser>
        <c:ser>
          <c:idx val="2"/>
          <c:order val="2"/>
          <c:tx>
            <c:strRef>
              <c:f>'953i, prod'!$D$2</c:f>
              <c:strCache>
                <c:ptCount val="1"/>
                <c:pt idx="0">
                  <c:v>Relay 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'953i, prod'!$A$3:$A$19</c:f>
              <c:strCache>
                <c:ptCount val="17"/>
                <c:pt idx="0">
                  <c:v>i</c:v>
                </c:pt>
                <c:pt idx="1">
                  <c:v>i</c:v>
                </c:pt>
                <c:pt idx="2">
                  <c:v>i</c:v>
                </c:pt>
                <c:pt idx="3">
                  <c:v>i</c:v>
                </c:pt>
                <c:pt idx="4">
                  <c:v>i</c:v>
                </c:pt>
                <c:pt idx="5">
                  <c:v>i</c:v>
                </c:pt>
                <c:pt idx="6">
                  <c:v>i</c:v>
                </c:pt>
                <c:pt idx="7">
                  <c:v>i</c:v>
                </c:pt>
                <c:pt idx="9">
                  <c:v>prod</c:v>
                </c:pt>
                <c:pt idx="10">
                  <c:v>prod</c:v>
                </c:pt>
                <c:pt idx="11">
                  <c:v>prod</c:v>
                </c:pt>
                <c:pt idx="12">
                  <c:v>prod</c:v>
                </c:pt>
                <c:pt idx="13">
                  <c:v>prod</c:v>
                </c:pt>
                <c:pt idx="14">
                  <c:v>prod</c:v>
                </c:pt>
                <c:pt idx="15">
                  <c:v>prod</c:v>
                </c:pt>
                <c:pt idx="16">
                  <c:v>prod</c:v>
                </c:pt>
              </c:strCache>
            </c:strRef>
          </c:cat>
          <c:val>
            <c:numRef>
              <c:f>'953i, prod'!$D$3:$D$19</c:f>
              <c:numCache>
                <c:formatCode>0.00E+00</c:formatCode>
                <c:ptCount val="17"/>
                <c:pt idx="0">
                  <c:v>5073</c:v>
                </c:pt>
                <c:pt idx="1">
                  <c:v>4611</c:v>
                </c:pt>
                <c:pt idx="2">
                  <c:v>4464</c:v>
                </c:pt>
                <c:pt idx="3">
                  <c:v>4368</c:v>
                </c:pt>
                <c:pt idx="4">
                  <c:v>4232</c:v>
                </c:pt>
                <c:pt idx="5">
                  <c:v>4090</c:v>
                </c:pt>
                <c:pt idx="6">
                  <c:v>3953</c:v>
                </c:pt>
                <c:pt idx="7">
                  <c:v>3793</c:v>
                </c:pt>
                <c:pt idx="9">
                  <c:v>2573</c:v>
                </c:pt>
                <c:pt idx="10">
                  <c:v>2378</c:v>
                </c:pt>
                <c:pt idx="11">
                  <c:v>2223</c:v>
                </c:pt>
                <c:pt idx="12">
                  <c:v>2021</c:v>
                </c:pt>
                <c:pt idx="13">
                  <c:v>1878</c:v>
                </c:pt>
                <c:pt idx="14">
                  <c:v>1768</c:v>
                </c:pt>
                <c:pt idx="15">
                  <c:v>1695</c:v>
                </c:pt>
                <c:pt idx="16">
                  <c:v>1623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66-4FE9-B030-23F826572655}"/>
            </c:ext>
          </c:extLst>
        </c:ser>
        <c:ser>
          <c:idx val="3"/>
          <c:order val="3"/>
          <c:tx>
            <c:strRef>
              <c:f>'953i, prod'!$E$2</c:f>
              <c:strCache>
                <c:ptCount val="1"/>
                <c:pt idx="0">
                  <c:v>Relay 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'953i, prod'!$A$3:$A$19</c:f>
              <c:strCache>
                <c:ptCount val="17"/>
                <c:pt idx="0">
                  <c:v>i</c:v>
                </c:pt>
                <c:pt idx="1">
                  <c:v>i</c:v>
                </c:pt>
                <c:pt idx="2">
                  <c:v>i</c:v>
                </c:pt>
                <c:pt idx="3">
                  <c:v>i</c:v>
                </c:pt>
                <c:pt idx="4">
                  <c:v>i</c:v>
                </c:pt>
                <c:pt idx="5">
                  <c:v>i</c:v>
                </c:pt>
                <c:pt idx="6">
                  <c:v>i</c:v>
                </c:pt>
                <c:pt idx="7">
                  <c:v>i</c:v>
                </c:pt>
                <c:pt idx="9">
                  <c:v>prod</c:v>
                </c:pt>
                <c:pt idx="10">
                  <c:v>prod</c:v>
                </c:pt>
                <c:pt idx="11">
                  <c:v>prod</c:v>
                </c:pt>
                <c:pt idx="12">
                  <c:v>prod</c:v>
                </c:pt>
                <c:pt idx="13">
                  <c:v>prod</c:v>
                </c:pt>
                <c:pt idx="14">
                  <c:v>prod</c:v>
                </c:pt>
                <c:pt idx="15">
                  <c:v>prod</c:v>
                </c:pt>
                <c:pt idx="16">
                  <c:v>prod</c:v>
                </c:pt>
              </c:strCache>
            </c:strRef>
          </c:cat>
          <c:val>
            <c:numRef>
              <c:f>'953i, prod'!$E$3:$E$19</c:f>
              <c:numCache>
                <c:formatCode>0.00E+00</c:formatCode>
                <c:ptCount val="17"/>
                <c:pt idx="0">
                  <c:v>3937</c:v>
                </c:pt>
                <c:pt idx="1">
                  <c:v>3688</c:v>
                </c:pt>
                <c:pt idx="2">
                  <c:v>3596</c:v>
                </c:pt>
                <c:pt idx="3">
                  <c:v>3594</c:v>
                </c:pt>
                <c:pt idx="4">
                  <c:v>3543</c:v>
                </c:pt>
                <c:pt idx="5">
                  <c:v>3454</c:v>
                </c:pt>
                <c:pt idx="6">
                  <c:v>3382</c:v>
                </c:pt>
                <c:pt idx="7">
                  <c:v>3293</c:v>
                </c:pt>
                <c:pt idx="9">
                  <c:v>2360</c:v>
                </c:pt>
                <c:pt idx="10">
                  <c:v>2134</c:v>
                </c:pt>
                <c:pt idx="11">
                  <c:v>2003</c:v>
                </c:pt>
                <c:pt idx="12">
                  <c:v>1884</c:v>
                </c:pt>
                <c:pt idx="13">
                  <c:v>1794</c:v>
                </c:pt>
                <c:pt idx="14">
                  <c:v>1720</c:v>
                </c:pt>
                <c:pt idx="15">
                  <c:v>1689</c:v>
                </c:pt>
                <c:pt idx="16">
                  <c:v>1629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66-4FE9-B030-23F826572655}"/>
            </c:ext>
          </c:extLst>
        </c:ser>
        <c:ser>
          <c:idx val="4"/>
          <c:order val="4"/>
          <c:tx>
            <c:strRef>
              <c:f>'953i, prod'!$F$2</c:f>
              <c:strCache>
                <c:ptCount val="1"/>
                <c:pt idx="0">
                  <c:v>Relay 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'953i, prod'!$A$3:$A$19</c:f>
              <c:strCache>
                <c:ptCount val="17"/>
                <c:pt idx="0">
                  <c:v>i</c:v>
                </c:pt>
                <c:pt idx="1">
                  <c:v>i</c:v>
                </c:pt>
                <c:pt idx="2">
                  <c:v>i</c:v>
                </c:pt>
                <c:pt idx="3">
                  <c:v>i</c:v>
                </c:pt>
                <c:pt idx="4">
                  <c:v>i</c:v>
                </c:pt>
                <c:pt idx="5">
                  <c:v>i</c:v>
                </c:pt>
                <c:pt idx="6">
                  <c:v>i</c:v>
                </c:pt>
                <c:pt idx="7">
                  <c:v>i</c:v>
                </c:pt>
                <c:pt idx="9">
                  <c:v>prod</c:v>
                </c:pt>
                <c:pt idx="10">
                  <c:v>prod</c:v>
                </c:pt>
                <c:pt idx="11">
                  <c:v>prod</c:v>
                </c:pt>
                <c:pt idx="12">
                  <c:v>prod</c:v>
                </c:pt>
                <c:pt idx="13">
                  <c:v>prod</c:v>
                </c:pt>
                <c:pt idx="14">
                  <c:v>prod</c:v>
                </c:pt>
                <c:pt idx="15">
                  <c:v>prod</c:v>
                </c:pt>
                <c:pt idx="16">
                  <c:v>prod</c:v>
                </c:pt>
              </c:strCache>
            </c:strRef>
          </c:cat>
          <c:val>
            <c:numRef>
              <c:f>'953i, prod'!$F$3:$F$19</c:f>
              <c:numCache>
                <c:formatCode>0.00E+00</c:formatCode>
                <c:ptCount val="17"/>
                <c:pt idx="0">
                  <c:v>3253</c:v>
                </c:pt>
                <c:pt idx="1">
                  <c:v>2944</c:v>
                </c:pt>
                <c:pt idx="2">
                  <c:v>2883</c:v>
                </c:pt>
                <c:pt idx="3">
                  <c:v>2925</c:v>
                </c:pt>
                <c:pt idx="4">
                  <c:v>2909</c:v>
                </c:pt>
                <c:pt idx="5">
                  <c:v>2906</c:v>
                </c:pt>
                <c:pt idx="6">
                  <c:v>2837</c:v>
                </c:pt>
                <c:pt idx="7">
                  <c:v>2733</c:v>
                </c:pt>
                <c:pt idx="9">
                  <c:v>2145</c:v>
                </c:pt>
                <c:pt idx="10">
                  <c:v>2027</c:v>
                </c:pt>
                <c:pt idx="11">
                  <c:v>1966</c:v>
                </c:pt>
                <c:pt idx="12">
                  <c:v>1894</c:v>
                </c:pt>
                <c:pt idx="13">
                  <c:v>1859</c:v>
                </c:pt>
                <c:pt idx="14">
                  <c:v>1831</c:v>
                </c:pt>
                <c:pt idx="15">
                  <c:v>1824</c:v>
                </c:pt>
                <c:pt idx="16">
                  <c:v>1798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666-4FE9-B030-23F826572655}"/>
            </c:ext>
          </c:extLst>
        </c:ser>
        <c:ser>
          <c:idx val="5"/>
          <c:order val="5"/>
          <c:tx>
            <c:strRef>
              <c:f>'953i, prod'!$G$2</c:f>
              <c:strCache>
                <c:ptCount val="1"/>
                <c:pt idx="0">
                  <c:v>Relay 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'953i, prod'!$A$3:$A$19</c:f>
              <c:strCache>
                <c:ptCount val="17"/>
                <c:pt idx="0">
                  <c:v>i</c:v>
                </c:pt>
                <c:pt idx="1">
                  <c:v>i</c:v>
                </c:pt>
                <c:pt idx="2">
                  <c:v>i</c:v>
                </c:pt>
                <c:pt idx="3">
                  <c:v>i</c:v>
                </c:pt>
                <c:pt idx="4">
                  <c:v>i</c:v>
                </c:pt>
                <c:pt idx="5">
                  <c:v>i</c:v>
                </c:pt>
                <c:pt idx="6">
                  <c:v>i</c:v>
                </c:pt>
                <c:pt idx="7">
                  <c:v>i</c:v>
                </c:pt>
                <c:pt idx="9">
                  <c:v>prod</c:v>
                </c:pt>
                <c:pt idx="10">
                  <c:v>prod</c:v>
                </c:pt>
                <c:pt idx="11">
                  <c:v>prod</c:v>
                </c:pt>
                <c:pt idx="12">
                  <c:v>prod</c:v>
                </c:pt>
                <c:pt idx="13">
                  <c:v>prod</c:v>
                </c:pt>
                <c:pt idx="14">
                  <c:v>prod</c:v>
                </c:pt>
                <c:pt idx="15">
                  <c:v>prod</c:v>
                </c:pt>
                <c:pt idx="16">
                  <c:v>prod</c:v>
                </c:pt>
              </c:strCache>
            </c:strRef>
          </c:cat>
          <c:val>
            <c:numRef>
              <c:f>'953i, prod'!$G$3:$G$19</c:f>
              <c:numCache>
                <c:formatCode>0.00E+00</c:formatCode>
                <c:ptCount val="17"/>
                <c:pt idx="0">
                  <c:v>3651</c:v>
                </c:pt>
                <c:pt idx="1">
                  <c:v>3363</c:v>
                </c:pt>
                <c:pt idx="2">
                  <c:v>3365</c:v>
                </c:pt>
                <c:pt idx="3">
                  <c:v>3407</c:v>
                </c:pt>
                <c:pt idx="4">
                  <c:v>3392</c:v>
                </c:pt>
                <c:pt idx="5">
                  <c:v>3378</c:v>
                </c:pt>
                <c:pt idx="6">
                  <c:v>3315</c:v>
                </c:pt>
                <c:pt idx="7">
                  <c:v>3210</c:v>
                </c:pt>
                <c:pt idx="9">
                  <c:v>2315</c:v>
                </c:pt>
                <c:pt idx="10">
                  <c:v>2227</c:v>
                </c:pt>
                <c:pt idx="11">
                  <c:v>2174</c:v>
                </c:pt>
                <c:pt idx="12">
                  <c:v>2108</c:v>
                </c:pt>
                <c:pt idx="13">
                  <c:v>2068</c:v>
                </c:pt>
                <c:pt idx="14">
                  <c:v>2006</c:v>
                </c:pt>
                <c:pt idx="15">
                  <c:v>1949</c:v>
                </c:pt>
                <c:pt idx="16">
                  <c:v>1901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666-4FE9-B030-23F826572655}"/>
            </c:ext>
          </c:extLst>
        </c:ser>
        <c:ser>
          <c:idx val="6"/>
          <c:order val="6"/>
          <c:tx>
            <c:strRef>
              <c:f>'953i, prod'!$H$2</c:f>
              <c:strCache>
                <c:ptCount val="1"/>
                <c:pt idx="0">
                  <c:v>Relay 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'953i, prod'!$A$3:$A$19</c:f>
              <c:strCache>
                <c:ptCount val="17"/>
                <c:pt idx="0">
                  <c:v>i</c:v>
                </c:pt>
                <c:pt idx="1">
                  <c:v>i</c:v>
                </c:pt>
                <c:pt idx="2">
                  <c:v>i</c:v>
                </c:pt>
                <c:pt idx="3">
                  <c:v>i</c:v>
                </c:pt>
                <c:pt idx="4">
                  <c:v>i</c:v>
                </c:pt>
                <c:pt idx="5">
                  <c:v>i</c:v>
                </c:pt>
                <c:pt idx="6">
                  <c:v>i</c:v>
                </c:pt>
                <c:pt idx="7">
                  <c:v>i</c:v>
                </c:pt>
                <c:pt idx="9">
                  <c:v>prod</c:v>
                </c:pt>
                <c:pt idx="10">
                  <c:v>prod</c:v>
                </c:pt>
                <c:pt idx="11">
                  <c:v>prod</c:v>
                </c:pt>
                <c:pt idx="12">
                  <c:v>prod</c:v>
                </c:pt>
                <c:pt idx="13">
                  <c:v>prod</c:v>
                </c:pt>
                <c:pt idx="14">
                  <c:v>prod</c:v>
                </c:pt>
                <c:pt idx="15">
                  <c:v>prod</c:v>
                </c:pt>
                <c:pt idx="16">
                  <c:v>prod</c:v>
                </c:pt>
              </c:strCache>
            </c:strRef>
          </c:cat>
          <c:val>
            <c:numRef>
              <c:f>'953i, prod'!$H$3:$H$19</c:f>
              <c:numCache>
                <c:formatCode>0.00E+00</c:formatCode>
                <c:ptCount val="17"/>
                <c:pt idx="0">
                  <c:v>3216</c:v>
                </c:pt>
                <c:pt idx="1">
                  <c:v>2942</c:v>
                </c:pt>
                <c:pt idx="2">
                  <c:v>2970</c:v>
                </c:pt>
                <c:pt idx="3">
                  <c:v>2970</c:v>
                </c:pt>
                <c:pt idx="4">
                  <c:v>2959</c:v>
                </c:pt>
                <c:pt idx="5">
                  <c:v>2905</c:v>
                </c:pt>
                <c:pt idx="6">
                  <c:v>2852</c:v>
                </c:pt>
                <c:pt idx="7">
                  <c:v>2774</c:v>
                </c:pt>
                <c:pt idx="9">
                  <c:v>5321</c:v>
                </c:pt>
                <c:pt idx="10">
                  <c:v>5232</c:v>
                </c:pt>
                <c:pt idx="11">
                  <c:v>5219</c:v>
                </c:pt>
                <c:pt idx="12">
                  <c:v>5148</c:v>
                </c:pt>
                <c:pt idx="13">
                  <c:v>5132</c:v>
                </c:pt>
                <c:pt idx="14">
                  <c:v>5116</c:v>
                </c:pt>
                <c:pt idx="15">
                  <c:v>5088</c:v>
                </c:pt>
                <c:pt idx="16">
                  <c:v>5085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666-4FE9-B030-23F826572655}"/>
            </c:ext>
          </c:extLst>
        </c:ser>
        <c:ser>
          <c:idx val="7"/>
          <c:order val="7"/>
          <c:tx>
            <c:strRef>
              <c:f>'953i, prod'!$I$2</c:f>
              <c:strCache>
                <c:ptCount val="1"/>
                <c:pt idx="0">
                  <c:v>Relay 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'953i, prod'!$A$3:$A$19</c:f>
              <c:strCache>
                <c:ptCount val="17"/>
                <c:pt idx="0">
                  <c:v>i</c:v>
                </c:pt>
                <c:pt idx="1">
                  <c:v>i</c:v>
                </c:pt>
                <c:pt idx="2">
                  <c:v>i</c:v>
                </c:pt>
                <c:pt idx="3">
                  <c:v>i</c:v>
                </c:pt>
                <c:pt idx="4">
                  <c:v>i</c:v>
                </c:pt>
                <c:pt idx="5">
                  <c:v>i</c:v>
                </c:pt>
                <c:pt idx="6">
                  <c:v>i</c:v>
                </c:pt>
                <c:pt idx="7">
                  <c:v>i</c:v>
                </c:pt>
                <c:pt idx="9">
                  <c:v>prod</c:v>
                </c:pt>
                <c:pt idx="10">
                  <c:v>prod</c:v>
                </c:pt>
                <c:pt idx="11">
                  <c:v>prod</c:v>
                </c:pt>
                <c:pt idx="12">
                  <c:v>prod</c:v>
                </c:pt>
                <c:pt idx="13">
                  <c:v>prod</c:v>
                </c:pt>
                <c:pt idx="14">
                  <c:v>prod</c:v>
                </c:pt>
                <c:pt idx="15">
                  <c:v>prod</c:v>
                </c:pt>
                <c:pt idx="16">
                  <c:v>prod</c:v>
                </c:pt>
              </c:strCache>
            </c:strRef>
          </c:cat>
          <c:val>
            <c:numRef>
              <c:f>'953i, prod'!$I$3:$I$19</c:f>
              <c:numCache>
                <c:formatCode>0.00E+00</c:formatCode>
                <c:ptCount val="17"/>
                <c:pt idx="0">
                  <c:v>3579</c:v>
                </c:pt>
                <c:pt idx="1">
                  <c:v>3319</c:v>
                </c:pt>
                <c:pt idx="2">
                  <c:v>3322</c:v>
                </c:pt>
                <c:pt idx="3">
                  <c:v>3276</c:v>
                </c:pt>
                <c:pt idx="4">
                  <c:v>3189</c:v>
                </c:pt>
                <c:pt idx="5">
                  <c:v>3100</c:v>
                </c:pt>
                <c:pt idx="6">
                  <c:v>3009</c:v>
                </c:pt>
                <c:pt idx="7">
                  <c:v>2889</c:v>
                </c:pt>
                <c:pt idx="9">
                  <c:v>5251</c:v>
                </c:pt>
                <c:pt idx="10">
                  <c:v>5153</c:v>
                </c:pt>
                <c:pt idx="11">
                  <c:v>5132</c:v>
                </c:pt>
                <c:pt idx="12">
                  <c:v>5084</c:v>
                </c:pt>
                <c:pt idx="13">
                  <c:v>5062</c:v>
                </c:pt>
                <c:pt idx="14">
                  <c:v>5029</c:v>
                </c:pt>
                <c:pt idx="15">
                  <c:v>5017</c:v>
                </c:pt>
                <c:pt idx="16">
                  <c:v>5016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666-4FE9-B030-23F826572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9796607"/>
        <c:axId val="2069801295"/>
      </c:lineChart>
      <c:catAx>
        <c:axId val="20697966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0-320 seconds (40 second increments)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9801295"/>
        <c:crosses val="autoZero"/>
        <c:auto val="1"/>
        <c:lblAlgn val="ctr"/>
        <c:lblOffset val="100"/>
        <c:noMultiLvlLbl val="0"/>
      </c:catAx>
      <c:valAx>
        <c:axId val="2069801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Ohms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9796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953i v prod, combined channels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'953i, prod'!$O$2</c:f>
              <c:strCache>
                <c:ptCount val="1"/>
                <c:pt idx="0">
                  <c:v>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'953i, prod'!$M$3:$N$10</c:f>
              <c:multiLvlStrCache>
                <c:ptCount val="8"/>
                <c:lvl>
                  <c:pt idx="0">
                    <c:v>40.00</c:v>
                  </c:pt>
                  <c:pt idx="1">
                    <c:v>80.00</c:v>
                  </c:pt>
                  <c:pt idx="2">
                    <c:v>120.00</c:v>
                  </c:pt>
                  <c:pt idx="3">
                    <c:v>160.00</c:v>
                  </c:pt>
                  <c:pt idx="4">
                    <c:v>200.00</c:v>
                  </c:pt>
                  <c:pt idx="5">
                    <c:v>240.00</c:v>
                  </c:pt>
                  <c:pt idx="6">
                    <c:v>280.00</c:v>
                  </c:pt>
                  <c:pt idx="7">
                    <c:v>320.00</c:v>
                  </c:pt>
                </c:lvl>
                <c:lvl>
                  <c:pt idx="0">
                    <c:v>Time</c:v>
                  </c:pt>
                </c:lvl>
              </c:multiLvlStrCache>
            </c:multiLvlStrRef>
          </c:cat>
          <c:val>
            <c:numRef>
              <c:f>'953i, prod'!$O$3:$O$10</c:f>
              <c:numCache>
                <c:formatCode>0.00</c:formatCode>
                <c:ptCount val="8"/>
                <c:pt idx="0">
                  <c:v>4181.875</c:v>
                </c:pt>
                <c:pt idx="1">
                  <c:v>3731.25</c:v>
                </c:pt>
                <c:pt idx="2">
                  <c:v>3620.625</c:v>
                </c:pt>
                <c:pt idx="3">
                  <c:v>3553.875</c:v>
                </c:pt>
                <c:pt idx="4">
                  <c:v>3464.625</c:v>
                </c:pt>
                <c:pt idx="5">
                  <c:v>3349.75</c:v>
                </c:pt>
                <c:pt idx="6">
                  <c:v>3243.75</c:v>
                </c:pt>
                <c:pt idx="7">
                  <c:v>3112.375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1D-478C-AB77-04809C9DC1D6}"/>
            </c:ext>
          </c:extLst>
        </c:ser>
        <c:ser>
          <c:idx val="1"/>
          <c:order val="1"/>
          <c:tx>
            <c:strRef>
              <c:f>'953i, prod'!$P$2</c:f>
              <c:strCache>
                <c:ptCount val="1"/>
                <c:pt idx="0">
                  <c:v>prod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'953i, prod'!$M$3:$N$10</c:f>
              <c:multiLvlStrCache>
                <c:ptCount val="8"/>
                <c:lvl>
                  <c:pt idx="0">
                    <c:v>40.00</c:v>
                  </c:pt>
                  <c:pt idx="1">
                    <c:v>80.00</c:v>
                  </c:pt>
                  <c:pt idx="2">
                    <c:v>120.00</c:v>
                  </c:pt>
                  <c:pt idx="3">
                    <c:v>160.00</c:v>
                  </c:pt>
                  <c:pt idx="4">
                    <c:v>200.00</c:v>
                  </c:pt>
                  <c:pt idx="5">
                    <c:v>240.00</c:v>
                  </c:pt>
                  <c:pt idx="6">
                    <c:v>280.00</c:v>
                  </c:pt>
                  <c:pt idx="7">
                    <c:v>320.00</c:v>
                  </c:pt>
                </c:lvl>
                <c:lvl>
                  <c:pt idx="0">
                    <c:v>Time</c:v>
                  </c:pt>
                </c:lvl>
              </c:multiLvlStrCache>
            </c:multiLvlStrRef>
          </c:cat>
          <c:val>
            <c:numRef>
              <c:f>'953i, prod'!$P$3:$P$10</c:f>
              <c:numCache>
                <c:formatCode>0.00</c:formatCode>
                <c:ptCount val="8"/>
                <c:pt idx="0">
                  <c:v>2391.6666666666665</c:v>
                </c:pt>
                <c:pt idx="1">
                  <c:v>2179</c:v>
                </c:pt>
                <c:pt idx="2">
                  <c:v>2066.1666666666665</c:v>
                </c:pt>
                <c:pt idx="3">
                  <c:v>1956.8333333333333</c:v>
                </c:pt>
                <c:pt idx="4">
                  <c:v>1878</c:v>
                </c:pt>
                <c:pt idx="5">
                  <c:v>1810.8333333333333</c:v>
                </c:pt>
                <c:pt idx="6">
                  <c:v>1763.6666666666667</c:v>
                </c:pt>
                <c:pt idx="7">
                  <c:v>1712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1D-478C-AB77-04809C9DC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1295983"/>
        <c:axId val="2069758127"/>
      </c:lineChart>
      <c:catAx>
        <c:axId val="1971295983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9758127"/>
        <c:crosses val="autoZero"/>
        <c:auto val="1"/>
        <c:lblAlgn val="ctr"/>
        <c:lblOffset val="100"/>
        <c:noMultiLvlLbl val="0"/>
      </c:catAx>
      <c:valAx>
        <c:axId val="2069758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Ohms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1295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953i v prod, all days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'953i, prod (2)'!$B$2</c:f>
              <c:strCache>
                <c:ptCount val="1"/>
                <c:pt idx="0">
                  <c:v>Relay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'953i, prod (2)'!$A$3:$A$19</c:f>
              <c:strCache>
                <c:ptCount val="17"/>
                <c:pt idx="0">
                  <c:v>i</c:v>
                </c:pt>
                <c:pt idx="1">
                  <c:v>i</c:v>
                </c:pt>
                <c:pt idx="2">
                  <c:v>i</c:v>
                </c:pt>
                <c:pt idx="3">
                  <c:v>i</c:v>
                </c:pt>
                <c:pt idx="4">
                  <c:v>i</c:v>
                </c:pt>
                <c:pt idx="5">
                  <c:v>i</c:v>
                </c:pt>
                <c:pt idx="6">
                  <c:v>i</c:v>
                </c:pt>
                <c:pt idx="7">
                  <c:v>i</c:v>
                </c:pt>
                <c:pt idx="9">
                  <c:v>prod</c:v>
                </c:pt>
                <c:pt idx="10">
                  <c:v>prod</c:v>
                </c:pt>
                <c:pt idx="11">
                  <c:v>prod</c:v>
                </c:pt>
                <c:pt idx="12">
                  <c:v>prod</c:v>
                </c:pt>
                <c:pt idx="13">
                  <c:v>prod</c:v>
                </c:pt>
                <c:pt idx="14">
                  <c:v>prod</c:v>
                </c:pt>
                <c:pt idx="15">
                  <c:v>prod</c:v>
                </c:pt>
                <c:pt idx="16">
                  <c:v>prod</c:v>
                </c:pt>
              </c:strCache>
            </c:strRef>
          </c:cat>
          <c:val>
            <c:numRef>
              <c:f>'953i, prod (2)'!$B$3:$B$19</c:f>
              <c:numCache>
                <c:formatCode>0.00E+00</c:formatCode>
                <c:ptCount val="17"/>
                <c:pt idx="0">
                  <c:v>2205</c:v>
                </c:pt>
                <c:pt idx="1">
                  <c:v>2200</c:v>
                </c:pt>
                <c:pt idx="2">
                  <c:v>2185</c:v>
                </c:pt>
                <c:pt idx="3">
                  <c:v>2177</c:v>
                </c:pt>
                <c:pt idx="4">
                  <c:v>2081</c:v>
                </c:pt>
                <c:pt idx="5">
                  <c:v>1986</c:v>
                </c:pt>
                <c:pt idx="6">
                  <c:v>1910</c:v>
                </c:pt>
                <c:pt idx="7">
                  <c:v>1840</c:v>
                </c:pt>
                <c:pt idx="9">
                  <c:v>2995</c:v>
                </c:pt>
                <c:pt idx="10">
                  <c:v>2786</c:v>
                </c:pt>
                <c:pt idx="11">
                  <c:v>2654</c:v>
                </c:pt>
                <c:pt idx="12">
                  <c:v>2540</c:v>
                </c:pt>
                <c:pt idx="13">
                  <c:v>2442</c:v>
                </c:pt>
                <c:pt idx="14">
                  <c:v>2378</c:v>
                </c:pt>
                <c:pt idx="15">
                  <c:v>2315</c:v>
                </c:pt>
                <c:pt idx="16">
                  <c:v>2264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22-4262-AE57-3446F2CC87E8}"/>
            </c:ext>
          </c:extLst>
        </c:ser>
        <c:ser>
          <c:idx val="1"/>
          <c:order val="1"/>
          <c:tx>
            <c:strRef>
              <c:f>'953i, prod (2)'!$C$2</c:f>
              <c:strCache>
                <c:ptCount val="1"/>
                <c:pt idx="0">
                  <c:v>Relay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'953i, prod (2)'!$A$3:$A$19</c:f>
              <c:strCache>
                <c:ptCount val="17"/>
                <c:pt idx="0">
                  <c:v>i</c:v>
                </c:pt>
                <c:pt idx="1">
                  <c:v>i</c:v>
                </c:pt>
                <c:pt idx="2">
                  <c:v>i</c:v>
                </c:pt>
                <c:pt idx="3">
                  <c:v>i</c:v>
                </c:pt>
                <c:pt idx="4">
                  <c:v>i</c:v>
                </c:pt>
                <c:pt idx="5">
                  <c:v>i</c:v>
                </c:pt>
                <c:pt idx="6">
                  <c:v>i</c:v>
                </c:pt>
                <c:pt idx="7">
                  <c:v>i</c:v>
                </c:pt>
                <c:pt idx="9">
                  <c:v>prod</c:v>
                </c:pt>
                <c:pt idx="10">
                  <c:v>prod</c:v>
                </c:pt>
                <c:pt idx="11">
                  <c:v>prod</c:v>
                </c:pt>
                <c:pt idx="12">
                  <c:v>prod</c:v>
                </c:pt>
                <c:pt idx="13">
                  <c:v>prod</c:v>
                </c:pt>
                <c:pt idx="14">
                  <c:v>prod</c:v>
                </c:pt>
                <c:pt idx="15">
                  <c:v>prod</c:v>
                </c:pt>
                <c:pt idx="16">
                  <c:v>prod</c:v>
                </c:pt>
              </c:strCache>
            </c:strRef>
          </c:cat>
          <c:val>
            <c:numRef>
              <c:f>'953i, prod (2)'!$C$3:$C$19</c:f>
              <c:numCache>
                <c:formatCode>0.00E+00</c:formatCode>
                <c:ptCount val="17"/>
                <c:pt idx="0">
                  <c:v>2397</c:v>
                </c:pt>
                <c:pt idx="1">
                  <c:v>2183</c:v>
                </c:pt>
                <c:pt idx="2">
                  <c:v>2082</c:v>
                </c:pt>
                <c:pt idx="3">
                  <c:v>2201</c:v>
                </c:pt>
                <c:pt idx="4">
                  <c:v>2194</c:v>
                </c:pt>
                <c:pt idx="5">
                  <c:v>2164</c:v>
                </c:pt>
                <c:pt idx="6">
                  <c:v>2230</c:v>
                </c:pt>
                <c:pt idx="7">
                  <c:v>2286</c:v>
                </c:pt>
                <c:pt idx="9">
                  <c:v>2413</c:v>
                </c:pt>
                <c:pt idx="10">
                  <c:v>2150</c:v>
                </c:pt>
                <c:pt idx="11">
                  <c:v>2050</c:v>
                </c:pt>
                <c:pt idx="12">
                  <c:v>1982</c:v>
                </c:pt>
                <c:pt idx="13">
                  <c:v>1928</c:v>
                </c:pt>
                <c:pt idx="14">
                  <c:v>1873</c:v>
                </c:pt>
                <c:pt idx="15">
                  <c:v>1824</c:v>
                </c:pt>
                <c:pt idx="16">
                  <c:v>1774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22-4262-AE57-3446F2CC87E8}"/>
            </c:ext>
          </c:extLst>
        </c:ser>
        <c:ser>
          <c:idx val="2"/>
          <c:order val="2"/>
          <c:tx>
            <c:strRef>
              <c:f>'953i, prod (2)'!$D$2</c:f>
              <c:strCache>
                <c:ptCount val="1"/>
                <c:pt idx="0">
                  <c:v>Relay 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'953i, prod (2)'!$A$3:$A$19</c:f>
              <c:strCache>
                <c:ptCount val="17"/>
                <c:pt idx="0">
                  <c:v>i</c:v>
                </c:pt>
                <c:pt idx="1">
                  <c:v>i</c:v>
                </c:pt>
                <c:pt idx="2">
                  <c:v>i</c:v>
                </c:pt>
                <c:pt idx="3">
                  <c:v>i</c:v>
                </c:pt>
                <c:pt idx="4">
                  <c:v>i</c:v>
                </c:pt>
                <c:pt idx="5">
                  <c:v>i</c:v>
                </c:pt>
                <c:pt idx="6">
                  <c:v>i</c:v>
                </c:pt>
                <c:pt idx="7">
                  <c:v>i</c:v>
                </c:pt>
                <c:pt idx="9">
                  <c:v>prod</c:v>
                </c:pt>
                <c:pt idx="10">
                  <c:v>prod</c:v>
                </c:pt>
                <c:pt idx="11">
                  <c:v>prod</c:v>
                </c:pt>
                <c:pt idx="12">
                  <c:v>prod</c:v>
                </c:pt>
                <c:pt idx="13">
                  <c:v>prod</c:v>
                </c:pt>
                <c:pt idx="14">
                  <c:v>prod</c:v>
                </c:pt>
                <c:pt idx="15">
                  <c:v>prod</c:v>
                </c:pt>
                <c:pt idx="16">
                  <c:v>prod</c:v>
                </c:pt>
              </c:strCache>
            </c:strRef>
          </c:cat>
          <c:val>
            <c:numRef>
              <c:f>'953i, prod (2)'!$D$3:$D$19</c:f>
              <c:numCache>
                <c:formatCode>0.00E+00</c:formatCode>
                <c:ptCount val="17"/>
                <c:pt idx="0">
                  <c:v>3111</c:v>
                </c:pt>
                <c:pt idx="1">
                  <c:v>2748</c:v>
                </c:pt>
                <c:pt idx="2">
                  <c:v>2409</c:v>
                </c:pt>
                <c:pt idx="3">
                  <c:v>2198</c:v>
                </c:pt>
                <c:pt idx="4">
                  <c:v>2003</c:v>
                </c:pt>
                <c:pt idx="5">
                  <c:v>1877</c:v>
                </c:pt>
                <c:pt idx="6">
                  <c:v>1897</c:v>
                </c:pt>
                <c:pt idx="7">
                  <c:v>1933</c:v>
                </c:pt>
                <c:pt idx="9">
                  <c:v>2961</c:v>
                </c:pt>
                <c:pt idx="10">
                  <c:v>2839</c:v>
                </c:pt>
                <c:pt idx="11">
                  <c:v>2745</c:v>
                </c:pt>
                <c:pt idx="12">
                  <c:v>2594</c:v>
                </c:pt>
                <c:pt idx="13">
                  <c:v>2466</c:v>
                </c:pt>
                <c:pt idx="14">
                  <c:v>2360</c:v>
                </c:pt>
                <c:pt idx="15">
                  <c:v>2279</c:v>
                </c:pt>
                <c:pt idx="16">
                  <c:v>2205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22-4262-AE57-3446F2CC87E8}"/>
            </c:ext>
          </c:extLst>
        </c:ser>
        <c:ser>
          <c:idx val="3"/>
          <c:order val="3"/>
          <c:tx>
            <c:strRef>
              <c:f>'953i, prod (2)'!$E$2</c:f>
              <c:strCache>
                <c:ptCount val="1"/>
                <c:pt idx="0">
                  <c:v>Relay 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'953i, prod (2)'!$A$3:$A$19</c:f>
              <c:strCache>
                <c:ptCount val="17"/>
                <c:pt idx="0">
                  <c:v>i</c:v>
                </c:pt>
                <c:pt idx="1">
                  <c:v>i</c:v>
                </c:pt>
                <c:pt idx="2">
                  <c:v>i</c:v>
                </c:pt>
                <c:pt idx="3">
                  <c:v>i</c:v>
                </c:pt>
                <c:pt idx="4">
                  <c:v>i</c:v>
                </c:pt>
                <c:pt idx="5">
                  <c:v>i</c:v>
                </c:pt>
                <c:pt idx="6">
                  <c:v>i</c:v>
                </c:pt>
                <c:pt idx="7">
                  <c:v>i</c:v>
                </c:pt>
                <c:pt idx="9">
                  <c:v>prod</c:v>
                </c:pt>
                <c:pt idx="10">
                  <c:v>prod</c:v>
                </c:pt>
                <c:pt idx="11">
                  <c:v>prod</c:v>
                </c:pt>
                <c:pt idx="12">
                  <c:v>prod</c:v>
                </c:pt>
                <c:pt idx="13">
                  <c:v>prod</c:v>
                </c:pt>
                <c:pt idx="14">
                  <c:v>prod</c:v>
                </c:pt>
                <c:pt idx="15">
                  <c:v>prod</c:v>
                </c:pt>
                <c:pt idx="16">
                  <c:v>prod</c:v>
                </c:pt>
              </c:strCache>
            </c:strRef>
          </c:cat>
          <c:val>
            <c:numRef>
              <c:f>'953i, prod (2)'!$E$3:$E$19</c:f>
              <c:numCache>
                <c:formatCode>0.00E+00</c:formatCode>
                <c:ptCount val="17"/>
                <c:pt idx="0">
                  <c:v>2556</c:v>
                </c:pt>
                <c:pt idx="1">
                  <c:v>1988</c:v>
                </c:pt>
                <c:pt idx="2">
                  <c:v>1823</c:v>
                </c:pt>
                <c:pt idx="3">
                  <c:v>1767</c:v>
                </c:pt>
                <c:pt idx="4">
                  <c:v>1668</c:v>
                </c:pt>
                <c:pt idx="5">
                  <c:v>1604</c:v>
                </c:pt>
                <c:pt idx="6">
                  <c:v>1662</c:v>
                </c:pt>
                <c:pt idx="7">
                  <c:v>1718</c:v>
                </c:pt>
                <c:pt idx="9">
                  <c:v>2841</c:v>
                </c:pt>
                <c:pt idx="10">
                  <c:v>2700</c:v>
                </c:pt>
                <c:pt idx="11">
                  <c:v>2599</c:v>
                </c:pt>
                <c:pt idx="12">
                  <c:v>2490</c:v>
                </c:pt>
                <c:pt idx="13">
                  <c:v>2399</c:v>
                </c:pt>
                <c:pt idx="14">
                  <c:v>2330</c:v>
                </c:pt>
                <c:pt idx="15">
                  <c:v>2298</c:v>
                </c:pt>
                <c:pt idx="16">
                  <c:v>2260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22-4262-AE57-3446F2CC87E8}"/>
            </c:ext>
          </c:extLst>
        </c:ser>
        <c:ser>
          <c:idx val="4"/>
          <c:order val="4"/>
          <c:tx>
            <c:strRef>
              <c:f>'953i, prod (2)'!$F$2</c:f>
              <c:strCache>
                <c:ptCount val="1"/>
                <c:pt idx="0">
                  <c:v>Relay 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'953i, prod (2)'!$A$3:$A$19</c:f>
              <c:strCache>
                <c:ptCount val="17"/>
                <c:pt idx="0">
                  <c:v>i</c:v>
                </c:pt>
                <c:pt idx="1">
                  <c:v>i</c:v>
                </c:pt>
                <c:pt idx="2">
                  <c:v>i</c:v>
                </c:pt>
                <c:pt idx="3">
                  <c:v>i</c:v>
                </c:pt>
                <c:pt idx="4">
                  <c:v>i</c:v>
                </c:pt>
                <c:pt idx="5">
                  <c:v>i</c:v>
                </c:pt>
                <c:pt idx="6">
                  <c:v>i</c:v>
                </c:pt>
                <c:pt idx="7">
                  <c:v>i</c:v>
                </c:pt>
                <c:pt idx="9">
                  <c:v>prod</c:v>
                </c:pt>
                <c:pt idx="10">
                  <c:v>prod</c:v>
                </c:pt>
                <c:pt idx="11">
                  <c:v>prod</c:v>
                </c:pt>
                <c:pt idx="12">
                  <c:v>prod</c:v>
                </c:pt>
                <c:pt idx="13">
                  <c:v>prod</c:v>
                </c:pt>
                <c:pt idx="14">
                  <c:v>prod</c:v>
                </c:pt>
                <c:pt idx="15">
                  <c:v>prod</c:v>
                </c:pt>
                <c:pt idx="16">
                  <c:v>prod</c:v>
                </c:pt>
              </c:strCache>
            </c:strRef>
          </c:cat>
          <c:val>
            <c:numRef>
              <c:f>'953i, prod (2)'!$F$3:$F$19</c:f>
              <c:numCache>
                <c:formatCode>0.00E+00</c:formatCode>
                <c:ptCount val="17"/>
                <c:pt idx="0">
                  <c:v>2890</c:v>
                </c:pt>
                <c:pt idx="1">
                  <c:v>2722</c:v>
                </c:pt>
                <c:pt idx="2">
                  <c:v>2573</c:v>
                </c:pt>
                <c:pt idx="3">
                  <c:v>2457</c:v>
                </c:pt>
                <c:pt idx="4">
                  <c:v>2237</c:v>
                </c:pt>
                <c:pt idx="5">
                  <c:v>2001</c:v>
                </c:pt>
                <c:pt idx="6">
                  <c:v>1878</c:v>
                </c:pt>
                <c:pt idx="7">
                  <c:v>1756</c:v>
                </c:pt>
                <c:pt idx="9">
                  <c:v>2103</c:v>
                </c:pt>
                <c:pt idx="10">
                  <c:v>2040</c:v>
                </c:pt>
                <c:pt idx="11">
                  <c:v>2018</c:v>
                </c:pt>
                <c:pt idx="12">
                  <c:v>1980</c:v>
                </c:pt>
                <c:pt idx="13">
                  <c:v>1958</c:v>
                </c:pt>
                <c:pt idx="14">
                  <c:v>1940</c:v>
                </c:pt>
                <c:pt idx="15">
                  <c:v>1934</c:v>
                </c:pt>
                <c:pt idx="16">
                  <c:v>1914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22-4262-AE57-3446F2CC87E8}"/>
            </c:ext>
          </c:extLst>
        </c:ser>
        <c:ser>
          <c:idx val="5"/>
          <c:order val="5"/>
          <c:tx>
            <c:strRef>
              <c:f>'953i, prod (2)'!$G$2</c:f>
              <c:strCache>
                <c:ptCount val="1"/>
                <c:pt idx="0">
                  <c:v>Relay 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'953i, prod (2)'!$A$3:$A$19</c:f>
              <c:strCache>
                <c:ptCount val="17"/>
                <c:pt idx="0">
                  <c:v>i</c:v>
                </c:pt>
                <c:pt idx="1">
                  <c:v>i</c:v>
                </c:pt>
                <c:pt idx="2">
                  <c:v>i</c:v>
                </c:pt>
                <c:pt idx="3">
                  <c:v>i</c:v>
                </c:pt>
                <c:pt idx="4">
                  <c:v>i</c:v>
                </c:pt>
                <c:pt idx="5">
                  <c:v>i</c:v>
                </c:pt>
                <c:pt idx="6">
                  <c:v>i</c:v>
                </c:pt>
                <c:pt idx="7">
                  <c:v>i</c:v>
                </c:pt>
                <c:pt idx="9">
                  <c:v>prod</c:v>
                </c:pt>
                <c:pt idx="10">
                  <c:v>prod</c:v>
                </c:pt>
                <c:pt idx="11">
                  <c:v>prod</c:v>
                </c:pt>
                <c:pt idx="12">
                  <c:v>prod</c:v>
                </c:pt>
                <c:pt idx="13">
                  <c:v>prod</c:v>
                </c:pt>
                <c:pt idx="14">
                  <c:v>prod</c:v>
                </c:pt>
                <c:pt idx="15">
                  <c:v>prod</c:v>
                </c:pt>
                <c:pt idx="16">
                  <c:v>prod</c:v>
                </c:pt>
              </c:strCache>
            </c:strRef>
          </c:cat>
          <c:val>
            <c:numRef>
              <c:f>'953i, prod (2)'!$G$3:$G$19</c:f>
              <c:numCache>
                <c:formatCode>0.00E+00</c:formatCode>
                <c:ptCount val="17"/>
                <c:pt idx="0">
                  <c:v>3553</c:v>
                </c:pt>
                <c:pt idx="1">
                  <c:v>3372</c:v>
                </c:pt>
                <c:pt idx="2">
                  <c:v>3101</c:v>
                </c:pt>
                <c:pt idx="3">
                  <c:v>2795</c:v>
                </c:pt>
                <c:pt idx="4">
                  <c:v>2419</c:v>
                </c:pt>
                <c:pt idx="5">
                  <c:v>2116</c:v>
                </c:pt>
                <c:pt idx="6">
                  <c:v>2043</c:v>
                </c:pt>
                <c:pt idx="7">
                  <c:v>2033</c:v>
                </c:pt>
                <c:pt idx="9">
                  <c:v>2821</c:v>
                </c:pt>
                <c:pt idx="10">
                  <c:v>2707</c:v>
                </c:pt>
                <c:pt idx="11">
                  <c:v>2651</c:v>
                </c:pt>
                <c:pt idx="12">
                  <c:v>2584</c:v>
                </c:pt>
                <c:pt idx="13">
                  <c:v>2523</c:v>
                </c:pt>
                <c:pt idx="14">
                  <c:v>2454</c:v>
                </c:pt>
                <c:pt idx="15">
                  <c:v>2393</c:v>
                </c:pt>
                <c:pt idx="16">
                  <c:v>2342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722-4262-AE57-3446F2CC87E8}"/>
            </c:ext>
          </c:extLst>
        </c:ser>
        <c:ser>
          <c:idx val="6"/>
          <c:order val="6"/>
          <c:tx>
            <c:strRef>
              <c:f>'953i, prod (2)'!$H$2</c:f>
              <c:strCache>
                <c:ptCount val="1"/>
                <c:pt idx="0">
                  <c:v>Relay 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'953i, prod (2)'!$A$3:$A$19</c:f>
              <c:strCache>
                <c:ptCount val="17"/>
                <c:pt idx="0">
                  <c:v>i</c:v>
                </c:pt>
                <c:pt idx="1">
                  <c:v>i</c:v>
                </c:pt>
                <c:pt idx="2">
                  <c:v>i</c:v>
                </c:pt>
                <c:pt idx="3">
                  <c:v>i</c:v>
                </c:pt>
                <c:pt idx="4">
                  <c:v>i</c:v>
                </c:pt>
                <c:pt idx="5">
                  <c:v>i</c:v>
                </c:pt>
                <c:pt idx="6">
                  <c:v>i</c:v>
                </c:pt>
                <c:pt idx="7">
                  <c:v>i</c:v>
                </c:pt>
                <c:pt idx="9">
                  <c:v>prod</c:v>
                </c:pt>
                <c:pt idx="10">
                  <c:v>prod</c:v>
                </c:pt>
                <c:pt idx="11">
                  <c:v>prod</c:v>
                </c:pt>
                <c:pt idx="12">
                  <c:v>prod</c:v>
                </c:pt>
                <c:pt idx="13">
                  <c:v>prod</c:v>
                </c:pt>
                <c:pt idx="14">
                  <c:v>prod</c:v>
                </c:pt>
                <c:pt idx="15">
                  <c:v>prod</c:v>
                </c:pt>
                <c:pt idx="16">
                  <c:v>prod</c:v>
                </c:pt>
              </c:strCache>
            </c:strRef>
          </c:cat>
          <c:val>
            <c:numRef>
              <c:f>'953i, prod (2)'!$H$3:$H$19</c:f>
              <c:numCache>
                <c:formatCode>0.00E+00</c:formatCode>
                <c:ptCount val="17"/>
                <c:pt idx="0">
                  <c:v>2788</c:v>
                </c:pt>
                <c:pt idx="1">
                  <c:v>2601</c:v>
                </c:pt>
                <c:pt idx="2">
                  <c:v>2388</c:v>
                </c:pt>
                <c:pt idx="3">
                  <c:v>2233</c:v>
                </c:pt>
                <c:pt idx="4">
                  <c:v>2062</c:v>
                </c:pt>
                <c:pt idx="5">
                  <c:v>1977</c:v>
                </c:pt>
                <c:pt idx="6">
                  <c:v>2048</c:v>
                </c:pt>
                <c:pt idx="7">
                  <c:v>2117</c:v>
                </c:pt>
                <c:pt idx="9">
                  <c:v>5906</c:v>
                </c:pt>
                <c:pt idx="10">
                  <c:v>5844</c:v>
                </c:pt>
                <c:pt idx="11">
                  <c:v>5835</c:v>
                </c:pt>
                <c:pt idx="12">
                  <c:v>5786</c:v>
                </c:pt>
                <c:pt idx="13">
                  <c:v>5775</c:v>
                </c:pt>
                <c:pt idx="14">
                  <c:v>5764</c:v>
                </c:pt>
                <c:pt idx="15">
                  <c:v>5745</c:v>
                </c:pt>
                <c:pt idx="16">
                  <c:v>5743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722-4262-AE57-3446F2CC87E8}"/>
            </c:ext>
          </c:extLst>
        </c:ser>
        <c:ser>
          <c:idx val="7"/>
          <c:order val="7"/>
          <c:tx>
            <c:strRef>
              <c:f>'953i, prod (2)'!$I$2</c:f>
              <c:strCache>
                <c:ptCount val="1"/>
                <c:pt idx="0">
                  <c:v>Relay 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'953i, prod (2)'!$A$3:$A$19</c:f>
              <c:strCache>
                <c:ptCount val="17"/>
                <c:pt idx="0">
                  <c:v>i</c:v>
                </c:pt>
                <c:pt idx="1">
                  <c:v>i</c:v>
                </c:pt>
                <c:pt idx="2">
                  <c:v>i</c:v>
                </c:pt>
                <c:pt idx="3">
                  <c:v>i</c:v>
                </c:pt>
                <c:pt idx="4">
                  <c:v>i</c:v>
                </c:pt>
                <c:pt idx="5">
                  <c:v>i</c:v>
                </c:pt>
                <c:pt idx="6">
                  <c:v>i</c:v>
                </c:pt>
                <c:pt idx="7">
                  <c:v>i</c:v>
                </c:pt>
                <c:pt idx="9">
                  <c:v>prod</c:v>
                </c:pt>
                <c:pt idx="10">
                  <c:v>prod</c:v>
                </c:pt>
                <c:pt idx="11">
                  <c:v>prod</c:v>
                </c:pt>
                <c:pt idx="12">
                  <c:v>prod</c:v>
                </c:pt>
                <c:pt idx="13">
                  <c:v>prod</c:v>
                </c:pt>
                <c:pt idx="14">
                  <c:v>prod</c:v>
                </c:pt>
                <c:pt idx="15">
                  <c:v>prod</c:v>
                </c:pt>
                <c:pt idx="16">
                  <c:v>prod</c:v>
                </c:pt>
              </c:strCache>
            </c:strRef>
          </c:cat>
          <c:val>
            <c:numRef>
              <c:f>'953i, prod (2)'!$I$3:$I$19</c:f>
              <c:numCache>
                <c:formatCode>0.00E+00</c:formatCode>
                <c:ptCount val="17"/>
                <c:pt idx="0">
                  <c:v>2049</c:v>
                </c:pt>
                <c:pt idx="1">
                  <c:v>1914</c:v>
                </c:pt>
                <c:pt idx="2">
                  <c:v>1915</c:v>
                </c:pt>
                <c:pt idx="3">
                  <c:v>1937</c:v>
                </c:pt>
                <c:pt idx="4">
                  <c:v>1880</c:v>
                </c:pt>
                <c:pt idx="5">
                  <c:v>1840</c:v>
                </c:pt>
                <c:pt idx="6">
                  <c:v>1898</c:v>
                </c:pt>
                <c:pt idx="7">
                  <c:v>1941</c:v>
                </c:pt>
                <c:pt idx="9">
                  <c:v>5858</c:v>
                </c:pt>
                <c:pt idx="10">
                  <c:v>5790</c:v>
                </c:pt>
                <c:pt idx="11">
                  <c:v>5775</c:v>
                </c:pt>
                <c:pt idx="12">
                  <c:v>5742</c:v>
                </c:pt>
                <c:pt idx="13">
                  <c:v>5727</c:v>
                </c:pt>
                <c:pt idx="14">
                  <c:v>5704</c:v>
                </c:pt>
                <c:pt idx="15">
                  <c:v>5696</c:v>
                </c:pt>
                <c:pt idx="16">
                  <c:v>5695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722-4262-AE57-3446F2CC8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9796607"/>
        <c:axId val="2069801295"/>
      </c:lineChart>
      <c:catAx>
        <c:axId val="20697966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0-320 seconds (40 second increments)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9801295"/>
        <c:crosses val="autoZero"/>
        <c:auto val="1"/>
        <c:lblAlgn val="ctr"/>
        <c:lblOffset val="100"/>
        <c:noMultiLvlLbl val="0"/>
      </c:catAx>
      <c:valAx>
        <c:axId val="2069801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Ohms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9796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953i v prod, combined channels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'953i, prod (2)'!$O$2</c:f>
              <c:strCache>
                <c:ptCount val="1"/>
                <c:pt idx="0">
                  <c:v>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'953i, prod (2)'!$M$3:$N$10</c:f>
              <c:multiLvlStrCache>
                <c:ptCount val="8"/>
                <c:lvl>
                  <c:pt idx="0">
                    <c:v>40.00</c:v>
                  </c:pt>
                  <c:pt idx="1">
                    <c:v>80.00</c:v>
                  </c:pt>
                  <c:pt idx="2">
                    <c:v>120.00</c:v>
                  </c:pt>
                  <c:pt idx="3">
                    <c:v>160.00</c:v>
                  </c:pt>
                  <c:pt idx="4">
                    <c:v>200.00</c:v>
                  </c:pt>
                  <c:pt idx="5">
                    <c:v>240.00</c:v>
                  </c:pt>
                  <c:pt idx="6">
                    <c:v>280.00</c:v>
                  </c:pt>
                  <c:pt idx="7">
                    <c:v>320.00</c:v>
                  </c:pt>
                </c:lvl>
                <c:lvl>
                  <c:pt idx="0">
                    <c:v>Time</c:v>
                  </c:pt>
                </c:lvl>
              </c:multiLvlStrCache>
            </c:multiLvlStrRef>
          </c:cat>
          <c:val>
            <c:numRef>
              <c:f>'953i, prod (2)'!$O$3:$O$10</c:f>
              <c:numCache>
                <c:formatCode>0.00</c:formatCode>
                <c:ptCount val="8"/>
                <c:pt idx="0">
                  <c:v>2693.625</c:v>
                </c:pt>
                <c:pt idx="1">
                  <c:v>2466</c:v>
                </c:pt>
                <c:pt idx="2">
                  <c:v>2309.5</c:v>
                </c:pt>
                <c:pt idx="3">
                  <c:v>2220.625</c:v>
                </c:pt>
                <c:pt idx="4">
                  <c:v>2068</c:v>
                </c:pt>
                <c:pt idx="5">
                  <c:v>1945.625</c:v>
                </c:pt>
                <c:pt idx="6">
                  <c:v>1945.75</c:v>
                </c:pt>
                <c:pt idx="7">
                  <c:v>1953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6D-49A1-B6C8-EF550409A27E}"/>
            </c:ext>
          </c:extLst>
        </c:ser>
        <c:ser>
          <c:idx val="1"/>
          <c:order val="1"/>
          <c:tx>
            <c:strRef>
              <c:f>'953i, prod (2)'!$P$2</c:f>
              <c:strCache>
                <c:ptCount val="1"/>
                <c:pt idx="0">
                  <c:v>prod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'953i, prod (2)'!$M$3:$N$10</c:f>
              <c:multiLvlStrCache>
                <c:ptCount val="8"/>
                <c:lvl>
                  <c:pt idx="0">
                    <c:v>40.00</c:v>
                  </c:pt>
                  <c:pt idx="1">
                    <c:v>80.00</c:v>
                  </c:pt>
                  <c:pt idx="2">
                    <c:v>120.00</c:v>
                  </c:pt>
                  <c:pt idx="3">
                    <c:v>160.00</c:v>
                  </c:pt>
                  <c:pt idx="4">
                    <c:v>200.00</c:v>
                  </c:pt>
                  <c:pt idx="5">
                    <c:v>240.00</c:v>
                  </c:pt>
                  <c:pt idx="6">
                    <c:v>280.00</c:v>
                  </c:pt>
                  <c:pt idx="7">
                    <c:v>320.00</c:v>
                  </c:pt>
                </c:lvl>
                <c:lvl>
                  <c:pt idx="0">
                    <c:v>Time</c:v>
                  </c:pt>
                </c:lvl>
              </c:multiLvlStrCache>
            </c:multiLvlStrRef>
          </c:cat>
          <c:val>
            <c:numRef>
              <c:f>'953i, prod (2)'!$P$3:$P$10</c:f>
              <c:numCache>
                <c:formatCode>0.00</c:formatCode>
                <c:ptCount val="8"/>
                <c:pt idx="0">
                  <c:v>2904.5</c:v>
                </c:pt>
                <c:pt idx="1">
                  <c:v>2758</c:v>
                </c:pt>
                <c:pt idx="2">
                  <c:v>2662.25</c:v>
                </c:pt>
                <c:pt idx="3">
                  <c:v>2552</c:v>
                </c:pt>
                <c:pt idx="4">
                  <c:v>2457.5</c:v>
                </c:pt>
                <c:pt idx="5">
                  <c:v>2380.5</c:v>
                </c:pt>
                <c:pt idx="6">
                  <c:v>2321.25</c:v>
                </c:pt>
                <c:pt idx="7">
                  <c:v>2267.75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6D-49A1-B6C8-EF550409A27E}"/>
            </c:ext>
          </c:extLst>
        </c:ser>
        <c:ser>
          <c:idx val="2"/>
          <c:order val="2"/>
          <c:tx>
            <c:strRef>
              <c:f>'953i, prod (2)'!$Q$2</c:f>
              <c:strCache>
                <c:ptCount val="1"/>
                <c:pt idx="0">
                  <c:v>pogo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'953i, prod (2)'!$Q$3:$Q$10</c:f>
              <c:numCache>
                <c:formatCode>0.00</c:formatCode>
                <c:ptCount val="8"/>
                <c:pt idx="0">
                  <c:v>2258</c:v>
                </c:pt>
                <c:pt idx="1">
                  <c:v>2095</c:v>
                </c:pt>
                <c:pt idx="2">
                  <c:v>2034</c:v>
                </c:pt>
                <c:pt idx="3">
                  <c:v>1981</c:v>
                </c:pt>
                <c:pt idx="4">
                  <c:v>1943</c:v>
                </c:pt>
                <c:pt idx="5">
                  <c:v>1906.5</c:v>
                </c:pt>
                <c:pt idx="6">
                  <c:v>1879</c:v>
                </c:pt>
                <c:pt idx="7">
                  <c:v>1844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6D-49A1-B6C8-EF550409A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1295983"/>
        <c:axId val="2069758127"/>
      </c:lineChart>
      <c:catAx>
        <c:axId val="1971295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9758127"/>
        <c:crosses val="autoZero"/>
        <c:auto val="1"/>
        <c:lblAlgn val="ctr"/>
        <c:lblOffset val="100"/>
        <c:noMultiLvlLbl val="0"/>
      </c:catAx>
      <c:valAx>
        <c:axId val="2069758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Ohms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1295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23812</xdr:colOff>
      <xdr:row>26</xdr:row>
      <xdr:rowOff>171450</xdr:rowOff>
    </xdr:from>
    <xdr:to>
      <xdr:col>20</xdr:col>
      <xdr:colOff>347662</xdr:colOff>
      <xdr:row>45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AC46B7-4E2F-491A-8FB6-FAF6480CB4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285750</xdr:colOff>
      <xdr:row>30</xdr:row>
      <xdr:rowOff>14287</xdr:rowOff>
    </xdr:from>
    <xdr:to>
      <xdr:col>29</xdr:col>
      <xdr:colOff>590550</xdr:colOff>
      <xdr:row>44</xdr:row>
      <xdr:rowOff>90487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C13C942-8AC7-438D-9505-19FD9BBBC8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190500</xdr:colOff>
      <xdr:row>22</xdr:row>
      <xdr:rowOff>176212</xdr:rowOff>
    </xdr:from>
    <xdr:to>
      <xdr:col>15</xdr:col>
      <xdr:colOff>495300</xdr:colOff>
      <xdr:row>37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DA1EC4-6F7D-4896-B210-2E9EC08921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414337</xdr:colOff>
      <xdr:row>22</xdr:row>
      <xdr:rowOff>119062</xdr:rowOff>
    </xdr:from>
    <xdr:to>
      <xdr:col>24</xdr:col>
      <xdr:colOff>109537</xdr:colOff>
      <xdr:row>37</xdr:row>
      <xdr:rowOff>4762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B3E8DF6-C68A-4AED-A1D3-858E822332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314325</xdr:colOff>
      <xdr:row>21</xdr:row>
      <xdr:rowOff>119062</xdr:rowOff>
    </xdr:from>
    <xdr:to>
      <xdr:col>9</xdr:col>
      <xdr:colOff>9525</xdr:colOff>
      <xdr:row>36</xdr:row>
      <xdr:rowOff>4762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F746DA3-33A6-4EEA-ACF2-02DB613BCC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214312</xdr:colOff>
      <xdr:row>21</xdr:row>
      <xdr:rowOff>90487</xdr:rowOff>
    </xdr:from>
    <xdr:to>
      <xdr:col>16</xdr:col>
      <xdr:colOff>519112</xdr:colOff>
      <xdr:row>35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67CDD48-AE71-4F7B-9355-A1EE4185A8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55"/>
  <sheetViews>
    <sheetView topLeftCell="A4" zoomScaleNormal="100" workbookViewId="0">
      <selection activeCell="M26" sqref="M26"/>
    </sheetView>
  </sheetViews>
  <sheetFormatPr defaultRowHeight="15" x14ac:dyDescent="0.25"/>
  <cols>
    <col min="1" max="16384" width="9.140625" style="1"/>
  </cols>
  <sheetData>
    <row r="1" spans="1:26" x14ac:dyDescent="0.25">
      <c r="A1" s="1" t="s">
        <v>17</v>
      </c>
      <c r="O1" s="1" t="s">
        <v>19</v>
      </c>
      <c r="Q1" s="1" t="s">
        <v>20</v>
      </c>
      <c r="S1" s="1" t="s">
        <v>21</v>
      </c>
      <c r="X1" s="1" t="s">
        <v>10</v>
      </c>
      <c r="Y1" s="1" t="s">
        <v>11</v>
      </c>
      <c r="Z1" s="1" t="s">
        <v>12</v>
      </c>
    </row>
    <row r="2" spans="1:26" x14ac:dyDescent="0.25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  <c r="N2" s="1" t="s">
        <v>10</v>
      </c>
      <c r="O2" s="1" t="s">
        <v>11</v>
      </c>
      <c r="P2" s="1" t="s">
        <v>12</v>
      </c>
      <c r="Q2" s="1" t="s">
        <v>11</v>
      </c>
      <c r="R2" s="1" t="s">
        <v>12</v>
      </c>
      <c r="S2" s="1" t="s">
        <v>11</v>
      </c>
      <c r="T2" s="1" t="s">
        <v>12</v>
      </c>
      <c r="X2" s="1">
        <v>40</v>
      </c>
      <c r="Y2" s="1">
        <f>AVERAGE(O3,Q3)</f>
        <v>3881.875</v>
      </c>
      <c r="Z2" s="1">
        <f>AVERAGE(P3,R3)</f>
        <v>4490</v>
      </c>
    </row>
    <row r="3" spans="1:26" x14ac:dyDescent="0.25">
      <c r="A3" s="1" t="s">
        <v>11</v>
      </c>
      <c r="B3" s="1">
        <v>5050</v>
      </c>
      <c r="C3" s="1">
        <v>5120</v>
      </c>
      <c r="D3" s="1">
        <v>5140</v>
      </c>
      <c r="E3" s="1">
        <v>4920</v>
      </c>
      <c r="F3" s="1">
        <v>4170</v>
      </c>
      <c r="G3" s="1">
        <v>3570</v>
      </c>
      <c r="H3" s="1">
        <v>3600</v>
      </c>
      <c r="I3" s="1">
        <v>4500</v>
      </c>
      <c r="J3" s="1">
        <f>AVERAGE(B3:I3)</f>
        <v>4508.75</v>
      </c>
      <c r="K3" s="1">
        <f>_xlfn.STDEV.P(B3:I3)</f>
        <v>618.07033378087317</v>
      </c>
      <c r="M3" s="1" t="s">
        <v>13</v>
      </c>
      <c r="N3" s="1">
        <v>40</v>
      </c>
      <c r="O3" s="1">
        <v>4508.75</v>
      </c>
      <c r="P3" s="1">
        <v>4571.25</v>
      </c>
      <c r="Q3" s="1">
        <v>3255</v>
      </c>
      <c r="R3" s="1">
        <v>4408.75</v>
      </c>
      <c r="S3" s="1">
        <f t="shared" ref="S3:S10" si="0">J39</f>
        <v>4560</v>
      </c>
      <c r="T3" s="1">
        <f>J48</f>
        <v>4770</v>
      </c>
      <c r="X3" s="1">
        <v>80</v>
      </c>
      <c r="Y3" s="1">
        <f t="shared" ref="Y3:Y9" si="1">AVERAGE(O4,Q4)</f>
        <v>3503.75</v>
      </c>
      <c r="Z3" s="1">
        <f t="shared" ref="Z3:Z9" si="2">AVERAGE(P4,R4)</f>
        <v>4369.375</v>
      </c>
    </row>
    <row r="4" spans="1:26" x14ac:dyDescent="0.25">
      <c r="A4" s="1" t="s">
        <v>11</v>
      </c>
      <c r="B4" s="1">
        <v>4210</v>
      </c>
      <c r="C4" s="1">
        <v>4690</v>
      </c>
      <c r="D4" s="1">
        <v>4720</v>
      </c>
      <c r="E4" s="1">
        <v>4480</v>
      </c>
      <c r="F4" s="1">
        <v>3900</v>
      </c>
      <c r="G4" s="1">
        <v>3400</v>
      </c>
      <c r="H4" s="1">
        <v>3320</v>
      </c>
      <c r="I4" s="1">
        <v>4000</v>
      </c>
      <c r="J4" s="1">
        <f t="shared" ref="J4:J10" si="3">AVERAGE(B4:I4)</f>
        <v>4090</v>
      </c>
      <c r="K4" s="1">
        <f t="shared" ref="K4:K10" si="4">_xlfn.STDEV.P(B4:I4)</f>
        <v>504.55425872744348</v>
      </c>
      <c r="N4" s="1">
        <v>80</v>
      </c>
      <c r="O4" s="1">
        <v>4090</v>
      </c>
      <c r="P4" s="1">
        <v>4521.25</v>
      </c>
      <c r="Q4" s="1">
        <v>2917.5</v>
      </c>
      <c r="R4" s="1">
        <v>4217.5</v>
      </c>
      <c r="S4" s="1">
        <f t="shared" si="0"/>
        <v>4632.5</v>
      </c>
      <c r="T4" s="1">
        <f t="shared" ref="T4:T10" si="5">J49</f>
        <v>4868.75</v>
      </c>
      <c r="X4" s="1">
        <v>120</v>
      </c>
      <c r="Y4" s="1">
        <f t="shared" si="1"/>
        <v>3169.375</v>
      </c>
      <c r="Z4" s="1">
        <f t="shared" si="2"/>
        <v>4184.375</v>
      </c>
    </row>
    <row r="5" spans="1:26" x14ac:dyDescent="0.25">
      <c r="A5" s="1" t="s">
        <v>11</v>
      </c>
      <c r="B5" s="1">
        <v>3670</v>
      </c>
      <c r="C5" s="1">
        <v>4290</v>
      </c>
      <c r="D5" s="1">
        <v>4240</v>
      </c>
      <c r="E5" s="1">
        <v>4070</v>
      </c>
      <c r="F5" s="1">
        <v>3590</v>
      </c>
      <c r="G5" s="1">
        <v>3210</v>
      </c>
      <c r="H5" s="1">
        <v>3060</v>
      </c>
      <c r="I5" s="1">
        <v>3510</v>
      </c>
      <c r="J5" s="1">
        <f t="shared" si="3"/>
        <v>3705</v>
      </c>
      <c r="K5" s="1">
        <f t="shared" si="4"/>
        <v>429.41821107167777</v>
      </c>
      <c r="N5" s="1">
        <v>120</v>
      </c>
      <c r="O5" s="1">
        <v>3705</v>
      </c>
      <c r="P5" s="1">
        <v>4406.25</v>
      </c>
      <c r="Q5" s="1">
        <v>2633.75</v>
      </c>
      <c r="R5" s="1">
        <v>3962.5</v>
      </c>
      <c r="S5" s="1">
        <f t="shared" si="0"/>
        <v>4587.5</v>
      </c>
      <c r="T5" s="1">
        <f t="shared" si="5"/>
        <v>4857.5</v>
      </c>
      <c r="X5" s="1">
        <v>160</v>
      </c>
      <c r="Y5" s="1">
        <f t="shared" si="1"/>
        <v>2888.75</v>
      </c>
      <c r="Z5" s="1">
        <f t="shared" si="2"/>
        <v>3973.125</v>
      </c>
    </row>
    <row r="6" spans="1:26" x14ac:dyDescent="0.25">
      <c r="A6" s="1" t="s">
        <v>11</v>
      </c>
      <c r="B6" s="1">
        <v>3260</v>
      </c>
      <c r="C6" s="1">
        <v>3950</v>
      </c>
      <c r="D6" s="1">
        <v>3800</v>
      </c>
      <c r="E6" s="1">
        <v>3670</v>
      </c>
      <c r="F6" s="1">
        <v>3320</v>
      </c>
      <c r="G6" s="1">
        <v>3020</v>
      </c>
      <c r="H6" s="1">
        <v>2790</v>
      </c>
      <c r="I6" s="1">
        <v>3100</v>
      </c>
      <c r="J6" s="1">
        <f t="shared" si="3"/>
        <v>3363.75</v>
      </c>
      <c r="K6" s="1">
        <f t="shared" si="4"/>
        <v>380.35961602146989</v>
      </c>
      <c r="N6" s="1">
        <v>160</v>
      </c>
      <c r="O6" s="1">
        <v>3363.75</v>
      </c>
      <c r="P6" s="1">
        <v>4220</v>
      </c>
      <c r="Q6" s="1">
        <v>2413.75</v>
      </c>
      <c r="R6" s="1">
        <v>3726.25</v>
      </c>
      <c r="S6" s="1">
        <f t="shared" si="0"/>
        <v>4463.75</v>
      </c>
      <c r="T6" s="1">
        <f t="shared" si="5"/>
        <v>4770</v>
      </c>
      <c r="X6" s="1">
        <v>200</v>
      </c>
      <c r="Y6" s="1">
        <f t="shared" si="1"/>
        <v>2615.625</v>
      </c>
      <c r="Z6" s="1">
        <f t="shared" si="2"/>
        <v>3715.625</v>
      </c>
    </row>
    <row r="7" spans="1:26" x14ac:dyDescent="0.25">
      <c r="A7" s="1" t="s">
        <v>11</v>
      </c>
      <c r="B7" s="1">
        <v>2920</v>
      </c>
      <c r="C7" s="1">
        <v>3640</v>
      </c>
      <c r="D7" s="1">
        <v>3370</v>
      </c>
      <c r="E7" s="1">
        <v>3300</v>
      </c>
      <c r="F7" s="1">
        <v>3010</v>
      </c>
      <c r="G7" s="1">
        <v>2800</v>
      </c>
      <c r="H7" s="1">
        <v>2500</v>
      </c>
      <c r="I7" s="1">
        <v>2710</v>
      </c>
      <c r="J7" s="1">
        <f t="shared" si="3"/>
        <v>3031.25</v>
      </c>
      <c r="K7" s="1">
        <f t="shared" si="4"/>
        <v>355.19140966526766</v>
      </c>
      <c r="N7" s="1">
        <v>200</v>
      </c>
      <c r="O7" s="1">
        <v>3031.25</v>
      </c>
      <c r="P7" s="1">
        <v>3922.5</v>
      </c>
      <c r="Q7" s="1">
        <v>2200</v>
      </c>
      <c r="R7" s="1">
        <v>3508.75</v>
      </c>
      <c r="S7" s="1">
        <f t="shared" si="0"/>
        <v>4280</v>
      </c>
      <c r="T7" s="1">
        <f t="shared" si="5"/>
        <v>4610</v>
      </c>
      <c r="X7" s="1">
        <v>240</v>
      </c>
      <c r="Y7" s="1">
        <f t="shared" si="1"/>
        <v>2383.125</v>
      </c>
      <c r="Z7" s="1">
        <f t="shared" si="2"/>
        <v>3467.5</v>
      </c>
    </row>
    <row r="8" spans="1:26" x14ac:dyDescent="0.25">
      <c r="A8" s="1" t="s">
        <v>11</v>
      </c>
      <c r="B8" s="1">
        <v>2560</v>
      </c>
      <c r="C8" s="1">
        <v>3340</v>
      </c>
      <c r="D8" s="1">
        <v>3010</v>
      </c>
      <c r="E8" s="1">
        <v>2970</v>
      </c>
      <c r="F8" s="1">
        <v>2780</v>
      </c>
      <c r="G8" s="1">
        <v>2660</v>
      </c>
      <c r="H8" s="1">
        <v>2300</v>
      </c>
      <c r="I8" s="1">
        <v>2410</v>
      </c>
      <c r="J8" s="1">
        <f t="shared" si="3"/>
        <v>2753.75</v>
      </c>
      <c r="K8" s="1">
        <f t="shared" si="4"/>
        <v>321.55627423516398</v>
      </c>
      <c r="N8" s="1">
        <v>240</v>
      </c>
      <c r="O8" s="1">
        <v>2753.75</v>
      </c>
      <c r="P8" s="1">
        <v>3641.25</v>
      </c>
      <c r="Q8" s="1">
        <v>2012.5</v>
      </c>
      <c r="R8" s="1">
        <v>3293.75</v>
      </c>
      <c r="S8" s="1">
        <f t="shared" si="0"/>
        <v>4080</v>
      </c>
      <c r="T8" s="1">
        <f t="shared" si="5"/>
        <v>4376.25</v>
      </c>
      <c r="X8" s="1">
        <v>280</v>
      </c>
      <c r="Y8" s="1">
        <f t="shared" si="1"/>
        <v>2174.375</v>
      </c>
      <c r="Z8" s="1">
        <f t="shared" si="2"/>
        <v>3225</v>
      </c>
    </row>
    <row r="9" spans="1:26" x14ac:dyDescent="0.25">
      <c r="A9" s="1" t="s">
        <v>11</v>
      </c>
      <c r="B9" s="1">
        <v>2230</v>
      </c>
      <c r="C9" s="1">
        <v>3030</v>
      </c>
      <c r="D9" s="1">
        <v>2700</v>
      </c>
      <c r="E9" s="1">
        <v>2690</v>
      </c>
      <c r="F9" s="1">
        <v>2570</v>
      </c>
      <c r="G9" s="1">
        <v>2480</v>
      </c>
      <c r="H9" s="1">
        <v>2080</v>
      </c>
      <c r="I9" s="1">
        <v>2090</v>
      </c>
      <c r="J9" s="1">
        <f t="shared" si="3"/>
        <v>2483.75</v>
      </c>
      <c r="K9" s="1">
        <f t="shared" si="4"/>
        <v>311.76663949178396</v>
      </c>
      <c r="N9" s="1">
        <v>280</v>
      </c>
      <c r="O9" s="1">
        <v>2483.75</v>
      </c>
      <c r="P9" s="1">
        <v>3348.75</v>
      </c>
      <c r="Q9" s="1">
        <v>1865</v>
      </c>
      <c r="R9" s="1">
        <v>3101.25</v>
      </c>
      <c r="S9" s="1">
        <f t="shared" si="0"/>
        <v>3858.75</v>
      </c>
      <c r="T9" s="1">
        <f t="shared" si="5"/>
        <v>4082.5</v>
      </c>
      <c r="X9" s="1">
        <v>320</v>
      </c>
      <c r="Y9" s="1">
        <f t="shared" si="1"/>
        <v>1988.75</v>
      </c>
      <c r="Z9" s="1">
        <f t="shared" si="2"/>
        <v>2994.375</v>
      </c>
    </row>
    <row r="10" spans="1:26" x14ac:dyDescent="0.25">
      <c r="A10" s="1" t="s">
        <v>11</v>
      </c>
      <c r="B10" s="1">
        <v>1920</v>
      </c>
      <c r="C10" s="1">
        <v>2690</v>
      </c>
      <c r="D10" s="1">
        <v>2420</v>
      </c>
      <c r="E10" s="1">
        <v>2370</v>
      </c>
      <c r="F10" s="1">
        <v>2460</v>
      </c>
      <c r="G10" s="1">
        <v>2310</v>
      </c>
      <c r="H10" s="1">
        <v>1880</v>
      </c>
      <c r="I10" s="1">
        <v>1850</v>
      </c>
      <c r="J10" s="1">
        <f t="shared" si="3"/>
        <v>2237.5</v>
      </c>
      <c r="K10" s="1">
        <f t="shared" si="4"/>
        <v>293.50255535514509</v>
      </c>
      <c r="N10" s="1">
        <v>320</v>
      </c>
      <c r="O10" s="1">
        <v>2237.5</v>
      </c>
      <c r="P10" s="1">
        <v>3088.75</v>
      </c>
      <c r="Q10" s="1">
        <v>1740</v>
      </c>
      <c r="R10" s="1">
        <v>2900</v>
      </c>
      <c r="S10" s="1">
        <f t="shared" si="0"/>
        <v>3610</v>
      </c>
      <c r="T10" s="1">
        <f t="shared" si="5"/>
        <v>3757.5</v>
      </c>
      <c r="X10" s="1" t="s">
        <v>8</v>
      </c>
      <c r="Y10" s="1">
        <f>AVERAGE(Y2:Y9)</f>
        <v>2825.703125</v>
      </c>
      <c r="Z10" s="1">
        <f>AVERAGE(Z2:Z9)</f>
        <v>3802.421875</v>
      </c>
    </row>
    <row r="11" spans="1:26" x14ac:dyDescent="0.25">
      <c r="X11" s="1" t="s">
        <v>14</v>
      </c>
      <c r="Y11" s="1">
        <f>(Y9-Y2)/320</f>
        <v>-5.916015625</v>
      </c>
      <c r="Z11" s="1">
        <f>(Z9-Z2)/320</f>
        <v>-4.673828125</v>
      </c>
    </row>
    <row r="12" spans="1:26" x14ac:dyDescent="0.25">
      <c r="A12" s="1" t="s">
        <v>12</v>
      </c>
      <c r="B12" s="1">
        <v>4360</v>
      </c>
      <c r="C12" s="1">
        <v>5960</v>
      </c>
      <c r="D12" s="1">
        <v>3480</v>
      </c>
      <c r="E12" s="1">
        <v>4150</v>
      </c>
      <c r="F12" s="1">
        <v>3130</v>
      </c>
      <c r="G12" s="1">
        <v>6210</v>
      </c>
      <c r="H12" s="1">
        <v>5640</v>
      </c>
      <c r="I12" s="1">
        <v>3640</v>
      </c>
      <c r="J12" s="1">
        <f>AVERAGE(B12:I12)</f>
        <v>4571.25</v>
      </c>
      <c r="K12" s="1">
        <f>_xlfn.STDEV.P(B12:I12)</f>
        <v>1124.3713521341604</v>
      </c>
      <c r="O12" s="1" t="s">
        <v>11</v>
      </c>
      <c r="P12" s="1" t="s">
        <v>12</v>
      </c>
      <c r="Q12" s="1" t="s">
        <v>11</v>
      </c>
      <c r="R12" s="1" t="s">
        <v>12</v>
      </c>
      <c r="S12" s="1" t="s">
        <v>11</v>
      </c>
      <c r="T12" s="1" t="s">
        <v>12</v>
      </c>
      <c r="X12" s="1">
        <v>40</v>
      </c>
      <c r="Y12" s="1">
        <f>AVERAGE(O13,Q13)</f>
        <v>740.17000000000007</v>
      </c>
      <c r="Z12" s="1">
        <f>AVERAGE(P13,R13)</f>
        <v>1087.23</v>
      </c>
    </row>
    <row r="13" spans="1:26" x14ac:dyDescent="0.25">
      <c r="A13" s="1" t="s">
        <v>12</v>
      </c>
      <c r="B13" s="1">
        <v>4440</v>
      </c>
      <c r="C13" s="1">
        <v>5980</v>
      </c>
      <c r="D13" s="1">
        <v>3350</v>
      </c>
      <c r="E13" s="1">
        <v>4030</v>
      </c>
      <c r="F13" s="1">
        <v>3140</v>
      </c>
      <c r="G13" s="1">
        <v>6170</v>
      </c>
      <c r="H13" s="1">
        <v>5690</v>
      </c>
      <c r="I13" s="1">
        <v>3370</v>
      </c>
      <c r="J13" s="1">
        <f t="shared" ref="J13:J19" si="6">AVERAGE(B13:I13)</f>
        <v>4521.25</v>
      </c>
      <c r="K13" s="1">
        <f t="shared" ref="K13:K19" si="7">_xlfn.STDEV.P(B13:I13)</f>
        <v>1176.0786272609498</v>
      </c>
      <c r="M13" s="1" t="s">
        <v>9</v>
      </c>
      <c r="N13" s="1">
        <v>40</v>
      </c>
      <c r="O13" s="1">
        <v>660.74</v>
      </c>
      <c r="P13" s="1">
        <v>1202</v>
      </c>
      <c r="Q13" s="1">
        <v>819.6</v>
      </c>
      <c r="R13" s="1">
        <v>972.46</v>
      </c>
      <c r="S13" s="1">
        <f>_xlfn.STDEV.P(B39:I39)</f>
        <v>659.01441562381626</v>
      </c>
      <c r="T13" s="1">
        <f>_xlfn.STDEV.P(B48:I48)</f>
        <v>1037.8463277383603</v>
      </c>
      <c r="X13" s="1">
        <v>80</v>
      </c>
      <c r="Y13" s="1">
        <f t="shared" ref="Y13:Y19" si="8">AVERAGE(O14,Q14)</f>
        <v>611.29500000000007</v>
      </c>
      <c r="Z13" s="1">
        <f t="shared" ref="Z13:Z19" si="9">AVERAGE(P14,R14)</f>
        <v>1112.32</v>
      </c>
    </row>
    <row r="14" spans="1:26" x14ac:dyDescent="0.25">
      <c r="A14" s="1" t="s">
        <v>12</v>
      </c>
      <c r="B14" s="1">
        <v>4350</v>
      </c>
      <c r="C14" s="1">
        <v>5860</v>
      </c>
      <c r="D14" s="1">
        <v>3170</v>
      </c>
      <c r="E14" s="1">
        <v>3800</v>
      </c>
      <c r="F14" s="1">
        <v>3160</v>
      </c>
      <c r="G14" s="1">
        <v>6070</v>
      </c>
      <c r="H14" s="1">
        <v>5710</v>
      </c>
      <c r="I14" s="1">
        <v>3130</v>
      </c>
      <c r="J14" s="1">
        <f t="shared" si="6"/>
        <v>4406.25</v>
      </c>
      <c r="K14" s="1">
        <f t="shared" si="7"/>
        <v>1207.3828876955313</v>
      </c>
      <c r="N14" s="1">
        <v>80</v>
      </c>
      <c r="O14" s="1">
        <v>539.39</v>
      </c>
      <c r="P14" s="1">
        <v>1257.28</v>
      </c>
      <c r="Q14" s="1">
        <v>683.2</v>
      </c>
      <c r="R14" s="1">
        <v>967.36</v>
      </c>
      <c r="S14" s="1">
        <f t="shared" ref="S14:S20" si="10">_xlfn.STDEV.P(B40:I40)</f>
        <v>630.09423898334444</v>
      </c>
      <c r="T14" s="1">
        <f>_xlfn.STDEV.P(B49:I49)</f>
        <v>948.99206398156991</v>
      </c>
      <c r="X14" s="1">
        <v>120</v>
      </c>
      <c r="Y14" s="1">
        <f t="shared" si="8"/>
        <v>551.76</v>
      </c>
      <c r="Z14" s="1">
        <f t="shared" si="9"/>
        <v>1097.56</v>
      </c>
    </row>
    <row r="15" spans="1:26" x14ac:dyDescent="0.25">
      <c r="A15" s="1" t="s">
        <v>12</v>
      </c>
      <c r="B15" s="1">
        <v>3980</v>
      </c>
      <c r="C15" s="1">
        <v>5670</v>
      </c>
      <c r="D15" s="1">
        <v>2980</v>
      </c>
      <c r="E15" s="1">
        <v>3570</v>
      </c>
      <c r="F15" s="1">
        <v>3130</v>
      </c>
      <c r="G15" s="1">
        <v>5900</v>
      </c>
      <c r="H15" s="1">
        <v>5610</v>
      </c>
      <c r="I15" s="1">
        <v>2920</v>
      </c>
      <c r="J15" s="1">
        <f t="shared" si="6"/>
        <v>4220</v>
      </c>
      <c r="K15" s="1">
        <f t="shared" si="7"/>
        <v>1212.0643547270913</v>
      </c>
      <c r="N15" s="1">
        <v>120</v>
      </c>
      <c r="O15" s="1">
        <v>459.07</v>
      </c>
      <c r="P15" s="1">
        <v>1290.75</v>
      </c>
      <c r="Q15" s="1">
        <v>644.45000000000005</v>
      </c>
      <c r="R15" s="1">
        <v>904.37</v>
      </c>
      <c r="S15" s="1">
        <f t="shared" si="10"/>
        <v>635.44767683893531</v>
      </c>
      <c r="T15" s="1">
        <f t="shared" ref="T15:T20" si="11">_xlfn.STDEV.P(B50:I50)</f>
        <v>859.96729588979133</v>
      </c>
      <c r="X15" s="1">
        <v>160</v>
      </c>
      <c r="Y15" s="1">
        <f t="shared" si="8"/>
        <v>464.28500000000003</v>
      </c>
      <c r="Z15" s="1">
        <f t="shared" si="9"/>
        <v>1072.375</v>
      </c>
    </row>
    <row r="16" spans="1:26" x14ac:dyDescent="0.25">
      <c r="A16" s="1" t="s">
        <v>12</v>
      </c>
      <c r="B16" s="1">
        <v>3480</v>
      </c>
      <c r="C16" s="1">
        <v>5230</v>
      </c>
      <c r="D16" s="1">
        <v>2640</v>
      </c>
      <c r="E16" s="1">
        <v>3310</v>
      </c>
      <c r="F16" s="1">
        <v>3080</v>
      </c>
      <c r="G16" s="1">
        <v>5530</v>
      </c>
      <c r="H16" s="1">
        <v>5460</v>
      </c>
      <c r="I16" s="1">
        <v>2650</v>
      </c>
      <c r="J16" s="1">
        <f t="shared" si="6"/>
        <v>3922.5</v>
      </c>
      <c r="K16" s="1">
        <f t="shared" si="7"/>
        <v>1183.3400821403795</v>
      </c>
      <c r="N16" s="1">
        <v>160</v>
      </c>
      <c r="O16" s="1">
        <v>406.62</v>
      </c>
      <c r="P16" s="1">
        <v>1295.75</v>
      </c>
      <c r="Q16" s="1">
        <v>521.95000000000005</v>
      </c>
      <c r="R16" s="1">
        <v>849</v>
      </c>
      <c r="S16" s="1">
        <f t="shared" si="10"/>
        <v>680.51336320457369</v>
      </c>
      <c r="T16" s="1">
        <f t="shared" si="11"/>
        <v>774.37071225608736</v>
      </c>
      <c r="X16" s="1">
        <v>200</v>
      </c>
      <c r="Y16" s="1">
        <f t="shared" si="8"/>
        <v>440.84500000000003</v>
      </c>
      <c r="Z16" s="1">
        <f t="shared" si="9"/>
        <v>1031.595</v>
      </c>
    </row>
    <row r="17" spans="1:26" x14ac:dyDescent="0.25">
      <c r="A17" s="1" t="s">
        <v>12</v>
      </c>
      <c r="B17" s="1">
        <v>3140</v>
      </c>
      <c r="C17" s="1">
        <v>4740</v>
      </c>
      <c r="D17" s="1">
        <v>2380</v>
      </c>
      <c r="E17" s="1">
        <v>3030</v>
      </c>
      <c r="F17" s="1">
        <v>2960</v>
      </c>
      <c r="G17" s="1">
        <v>5210</v>
      </c>
      <c r="H17" s="1">
        <v>5270</v>
      </c>
      <c r="I17" s="1">
        <v>2400</v>
      </c>
      <c r="J17" s="1">
        <f t="shared" si="6"/>
        <v>3641.25</v>
      </c>
      <c r="K17" s="1">
        <f t="shared" si="7"/>
        <v>1147.905021114552</v>
      </c>
      <c r="N17" s="1">
        <v>200</v>
      </c>
      <c r="O17" s="1">
        <v>379.72</v>
      </c>
      <c r="P17" s="1">
        <v>1265.04</v>
      </c>
      <c r="Q17" s="1">
        <v>501.97</v>
      </c>
      <c r="R17" s="1">
        <v>798.15</v>
      </c>
      <c r="S17" s="1">
        <f t="shared" si="10"/>
        <v>729.82874703590562</v>
      </c>
      <c r="T17" s="1">
        <f t="shared" si="11"/>
        <v>708.57250863972979</v>
      </c>
      <c r="X17" s="1">
        <v>240</v>
      </c>
      <c r="Y17" s="1">
        <f t="shared" si="8"/>
        <v>406.54999999999995</v>
      </c>
      <c r="Z17" s="1">
        <f t="shared" si="9"/>
        <v>987.41000000000008</v>
      </c>
    </row>
    <row r="18" spans="1:26" x14ac:dyDescent="0.25">
      <c r="A18" s="1" t="s">
        <v>12</v>
      </c>
      <c r="B18" s="1">
        <v>2790</v>
      </c>
      <c r="C18" s="1">
        <v>4270</v>
      </c>
      <c r="D18" s="1">
        <v>2110</v>
      </c>
      <c r="E18" s="1">
        <v>2730</v>
      </c>
      <c r="F18" s="1">
        <v>2870</v>
      </c>
      <c r="G18" s="1">
        <v>4890</v>
      </c>
      <c r="H18" s="1">
        <v>4970</v>
      </c>
      <c r="I18" s="1">
        <v>2160</v>
      </c>
      <c r="J18" s="1">
        <f t="shared" si="6"/>
        <v>3348.75</v>
      </c>
      <c r="K18" s="1">
        <f t="shared" si="7"/>
        <v>1102.5248013083424</v>
      </c>
      <c r="N18" s="1">
        <v>240</v>
      </c>
      <c r="O18" s="1">
        <v>343.76</v>
      </c>
      <c r="P18" s="1">
        <v>1227.1600000000001</v>
      </c>
      <c r="Q18" s="1">
        <v>469.34</v>
      </c>
      <c r="R18" s="1">
        <v>747.66</v>
      </c>
      <c r="S18" s="1">
        <f t="shared" si="10"/>
        <v>781.92071209298456</v>
      </c>
      <c r="T18" s="1">
        <f t="shared" si="11"/>
        <v>673.83116394242256</v>
      </c>
      <c r="X18" s="1">
        <v>280</v>
      </c>
      <c r="Y18" s="1">
        <f t="shared" si="8"/>
        <v>389.5</v>
      </c>
      <c r="Z18" s="1">
        <f t="shared" si="9"/>
        <v>942.19500000000005</v>
      </c>
    </row>
    <row r="19" spans="1:26" x14ac:dyDescent="0.25">
      <c r="A19" s="1" t="s">
        <v>12</v>
      </c>
      <c r="B19" s="1">
        <v>2460</v>
      </c>
      <c r="C19" s="1">
        <v>3840</v>
      </c>
      <c r="D19" s="1">
        <v>1910</v>
      </c>
      <c r="E19" s="1">
        <v>2490</v>
      </c>
      <c r="F19" s="1">
        <v>2780</v>
      </c>
      <c r="G19" s="1">
        <v>4590</v>
      </c>
      <c r="H19" s="1">
        <v>4680</v>
      </c>
      <c r="I19" s="1">
        <v>1960</v>
      </c>
      <c r="J19" s="1">
        <f t="shared" si="6"/>
        <v>3088.75</v>
      </c>
      <c r="K19" s="1">
        <f t="shared" si="7"/>
        <v>1052.5497316041651</v>
      </c>
      <c r="N19" s="1">
        <v>280</v>
      </c>
      <c r="O19" s="1">
        <v>333.29</v>
      </c>
      <c r="P19" s="1">
        <v>1178.6500000000001</v>
      </c>
      <c r="Q19" s="1">
        <v>445.71</v>
      </c>
      <c r="R19" s="1">
        <v>705.74</v>
      </c>
      <c r="S19" s="1">
        <f t="shared" si="10"/>
        <v>842.60663271778253</v>
      </c>
      <c r="T19" s="1">
        <f t="shared" si="11"/>
        <v>661.43310319336149</v>
      </c>
      <c r="X19" s="1">
        <v>320</v>
      </c>
      <c r="Y19" s="1">
        <f t="shared" si="8"/>
        <v>370.34500000000003</v>
      </c>
      <c r="Z19" s="1">
        <f t="shared" si="9"/>
        <v>898.65000000000009</v>
      </c>
    </row>
    <row r="20" spans="1:26" x14ac:dyDescent="0.25">
      <c r="A20" s="1" t="s">
        <v>18</v>
      </c>
      <c r="N20" s="1">
        <v>320</v>
      </c>
      <c r="O20" s="1">
        <v>313.77</v>
      </c>
      <c r="P20" s="1">
        <v>1125.22</v>
      </c>
      <c r="Q20" s="1">
        <v>426.92</v>
      </c>
      <c r="R20" s="1">
        <v>672.08</v>
      </c>
      <c r="S20" s="1">
        <f t="shared" si="10"/>
        <v>887.35562205916062</v>
      </c>
      <c r="T20" s="1">
        <f t="shared" si="11"/>
        <v>668.46372377265175</v>
      </c>
      <c r="X20" s="1" t="s">
        <v>15</v>
      </c>
      <c r="Y20" s="1">
        <f>AVERAGE(Y12:Y19)</f>
        <v>496.84375000000011</v>
      </c>
      <c r="Z20" s="1">
        <f>AVERAGE(Z12:Z19)</f>
        <v>1028.6668750000001</v>
      </c>
    </row>
    <row r="21" spans="1:26" x14ac:dyDescent="0.25">
      <c r="A21" s="1" t="s">
        <v>11</v>
      </c>
      <c r="B21" s="1">
        <v>4490</v>
      </c>
      <c r="C21" s="1">
        <v>4450</v>
      </c>
      <c r="D21" s="1">
        <v>3440</v>
      </c>
      <c r="E21" s="1">
        <v>2920</v>
      </c>
      <c r="F21" s="1">
        <v>2750</v>
      </c>
      <c r="G21" s="1">
        <v>2920</v>
      </c>
      <c r="H21" s="1">
        <v>2850</v>
      </c>
      <c r="I21" s="1">
        <v>2220</v>
      </c>
      <c r="J21" s="1">
        <f>AVERAGE(B21:I21)</f>
        <v>3255</v>
      </c>
      <c r="K21" s="1">
        <f>_xlfn.STDEV.P(B21:I21)</f>
        <v>766.66485507032337</v>
      </c>
      <c r="Y21" s="1">
        <f>Y20/Y10</f>
        <v>0.17583013077497309</v>
      </c>
      <c r="Z21" s="1">
        <f>Z20/Z10</f>
        <v>0.27052939121859015</v>
      </c>
    </row>
    <row r="22" spans="1:26" x14ac:dyDescent="0.25">
      <c r="A22" s="1" t="s">
        <v>11</v>
      </c>
      <c r="B22" s="1">
        <v>3620</v>
      </c>
      <c r="C22" s="1">
        <v>4120</v>
      </c>
      <c r="D22" s="1">
        <v>3140</v>
      </c>
      <c r="E22" s="1">
        <v>2630</v>
      </c>
      <c r="F22" s="1">
        <v>2620</v>
      </c>
      <c r="G22" s="1">
        <v>2780</v>
      </c>
      <c r="H22" s="1">
        <v>2440</v>
      </c>
      <c r="I22" s="1">
        <v>1990</v>
      </c>
      <c r="J22" s="1">
        <f t="shared" ref="J22:J28" si="12">AVERAGE(B22:I22)</f>
        <v>2917.5</v>
      </c>
      <c r="K22" s="1">
        <f t="shared" ref="K22:K28" si="13">_xlfn.STDEV.P(B22:I22)</f>
        <v>639.07648212088043</v>
      </c>
    </row>
    <row r="23" spans="1:26" x14ac:dyDescent="0.25">
      <c r="A23" s="1" t="s">
        <v>11</v>
      </c>
      <c r="B23" s="1">
        <v>3100</v>
      </c>
      <c r="C23" s="1">
        <v>3830</v>
      </c>
      <c r="D23" s="1">
        <v>2890</v>
      </c>
      <c r="E23" s="1">
        <v>2290</v>
      </c>
      <c r="F23" s="1">
        <v>2570</v>
      </c>
      <c r="G23" s="1">
        <v>2550</v>
      </c>
      <c r="H23" s="1">
        <v>2070</v>
      </c>
      <c r="I23" s="1">
        <v>1770</v>
      </c>
      <c r="J23" s="1">
        <f t="shared" si="12"/>
        <v>2633.75</v>
      </c>
      <c r="K23" s="1">
        <f t="shared" si="13"/>
        <v>602.82537894484835</v>
      </c>
    </row>
    <row r="24" spans="1:26" x14ac:dyDescent="0.25">
      <c r="A24" s="1" t="s">
        <v>11</v>
      </c>
      <c r="B24" s="1">
        <v>2560</v>
      </c>
      <c r="C24" s="1">
        <v>3410</v>
      </c>
      <c r="D24" s="1">
        <v>2490</v>
      </c>
      <c r="E24" s="1">
        <v>1990</v>
      </c>
      <c r="F24" s="1">
        <v>2580</v>
      </c>
      <c r="G24" s="1">
        <v>2570</v>
      </c>
      <c r="H24" s="1">
        <v>1980</v>
      </c>
      <c r="I24" s="1">
        <v>1730</v>
      </c>
      <c r="J24" s="1">
        <f t="shared" si="12"/>
        <v>2413.75</v>
      </c>
      <c r="K24" s="1">
        <f t="shared" si="13"/>
        <v>488.23502281176019</v>
      </c>
    </row>
    <row r="25" spans="1:26" x14ac:dyDescent="0.25">
      <c r="A25" s="1" t="s">
        <v>11</v>
      </c>
      <c r="B25" s="1">
        <v>2260</v>
      </c>
      <c r="C25" s="1">
        <v>3170</v>
      </c>
      <c r="D25" s="1">
        <v>2300</v>
      </c>
      <c r="E25" s="1">
        <v>1740</v>
      </c>
      <c r="F25" s="1">
        <v>2380</v>
      </c>
      <c r="G25" s="1">
        <v>2370</v>
      </c>
      <c r="H25" s="1">
        <v>1780</v>
      </c>
      <c r="I25" s="1">
        <v>1600</v>
      </c>
      <c r="J25" s="1">
        <f t="shared" si="12"/>
        <v>2200</v>
      </c>
      <c r="K25" s="1">
        <f t="shared" si="13"/>
        <v>469.54765466350699</v>
      </c>
    </row>
    <row r="26" spans="1:26" x14ac:dyDescent="0.25">
      <c r="A26" s="1" t="s">
        <v>11</v>
      </c>
      <c r="B26" s="1">
        <v>1880</v>
      </c>
      <c r="C26" s="1">
        <v>2910</v>
      </c>
      <c r="D26" s="1">
        <v>2130</v>
      </c>
      <c r="E26" s="1">
        <v>1560</v>
      </c>
      <c r="F26" s="1">
        <v>2250</v>
      </c>
      <c r="G26" s="1">
        <v>2230</v>
      </c>
      <c r="H26" s="1">
        <v>1620</v>
      </c>
      <c r="I26" s="1">
        <v>1520</v>
      </c>
      <c r="J26" s="1">
        <f t="shared" si="12"/>
        <v>2012.5</v>
      </c>
      <c r="K26" s="1">
        <f t="shared" si="13"/>
        <v>439.02591039709716</v>
      </c>
    </row>
    <row r="27" spans="1:26" x14ac:dyDescent="0.25">
      <c r="A27" s="1" t="s">
        <v>11</v>
      </c>
      <c r="B27" s="1">
        <v>1570</v>
      </c>
      <c r="C27" s="1">
        <v>2700</v>
      </c>
      <c r="D27" s="1">
        <v>1960</v>
      </c>
      <c r="E27" s="1">
        <v>1440</v>
      </c>
      <c r="F27" s="1">
        <v>2130</v>
      </c>
      <c r="G27" s="1">
        <v>2130</v>
      </c>
      <c r="H27" s="1">
        <v>1530</v>
      </c>
      <c r="I27" s="1">
        <v>1460</v>
      </c>
      <c r="J27" s="1">
        <f t="shared" si="12"/>
        <v>1865</v>
      </c>
      <c r="K27" s="1">
        <f t="shared" si="13"/>
        <v>416.92325432865937</v>
      </c>
    </row>
    <row r="28" spans="1:26" x14ac:dyDescent="0.25">
      <c r="A28" s="1" t="s">
        <v>11</v>
      </c>
      <c r="B28" s="1">
        <v>1380</v>
      </c>
      <c r="C28" s="1">
        <v>2520</v>
      </c>
      <c r="D28" s="1">
        <v>1840</v>
      </c>
      <c r="E28" s="1">
        <v>1320</v>
      </c>
      <c r="F28" s="1">
        <v>2010</v>
      </c>
      <c r="G28" s="1">
        <v>2010</v>
      </c>
      <c r="H28" s="1">
        <v>1440</v>
      </c>
      <c r="I28" s="1">
        <v>1400</v>
      </c>
      <c r="J28" s="1">
        <f t="shared" si="12"/>
        <v>1740</v>
      </c>
      <c r="K28" s="1">
        <f t="shared" si="13"/>
        <v>399.34321078490865</v>
      </c>
    </row>
    <row r="30" spans="1:26" x14ac:dyDescent="0.25">
      <c r="A30" s="1" t="s">
        <v>12</v>
      </c>
      <c r="B30" s="1">
        <v>4270</v>
      </c>
      <c r="C30" s="1">
        <v>5620</v>
      </c>
      <c r="D30" s="1">
        <v>3780</v>
      </c>
      <c r="E30" s="1">
        <v>4130</v>
      </c>
      <c r="F30" s="1">
        <v>3270</v>
      </c>
      <c r="G30" s="1">
        <v>5600</v>
      </c>
      <c r="H30" s="1">
        <v>5280</v>
      </c>
      <c r="I30" s="1">
        <v>3320</v>
      </c>
      <c r="J30" s="1">
        <f>AVERAGE(B30:I30)</f>
        <v>4408.75</v>
      </c>
      <c r="K30" s="1">
        <f>_xlfn.STDEV.P(B30:I30)</f>
        <v>909.6487989878292</v>
      </c>
    </row>
    <row r="31" spans="1:26" x14ac:dyDescent="0.25">
      <c r="A31" s="1" t="s">
        <v>12</v>
      </c>
      <c r="B31" s="1">
        <v>3940</v>
      </c>
      <c r="C31" s="1">
        <v>5370</v>
      </c>
      <c r="D31" s="1">
        <v>3660</v>
      </c>
      <c r="E31" s="1">
        <v>4040</v>
      </c>
      <c r="F31" s="1">
        <v>3220</v>
      </c>
      <c r="G31" s="1">
        <v>5580</v>
      </c>
      <c r="H31" s="1">
        <v>4920</v>
      </c>
      <c r="I31" s="1">
        <v>3010</v>
      </c>
      <c r="J31" s="1">
        <f t="shared" ref="J31:J37" si="14">AVERAGE(B31:I31)</f>
        <v>4217.5</v>
      </c>
      <c r="K31" s="1">
        <f t="shared" ref="K31:K37" si="15">_xlfn.STDEV.P(B31:I31)</f>
        <v>904.8860425490052</v>
      </c>
    </row>
    <row r="32" spans="1:26" x14ac:dyDescent="0.25">
      <c r="A32" s="1" t="s">
        <v>12</v>
      </c>
      <c r="B32" s="1">
        <v>3760</v>
      </c>
      <c r="C32" s="1">
        <v>5200</v>
      </c>
      <c r="D32" s="1">
        <v>3490</v>
      </c>
      <c r="E32" s="1">
        <v>3770</v>
      </c>
      <c r="F32" s="1">
        <v>3080</v>
      </c>
      <c r="G32" s="1">
        <v>5160</v>
      </c>
      <c r="H32" s="1">
        <v>4470</v>
      </c>
      <c r="I32" s="1">
        <v>2770</v>
      </c>
      <c r="J32" s="1">
        <f t="shared" si="14"/>
        <v>3962.5</v>
      </c>
      <c r="K32" s="1">
        <f t="shared" si="15"/>
        <v>845.95729797667684</v>
      </c>
    </row>
    <row r="33" spans="1:11" x14ac:dyDescent="0.25">
      <c r="A33" s="1" t="s">
        <v>12</v>
      </c>
      <c r="B33" s="1">
        <v>3480</v>
      </c>
      <c r="C33" s="1">
        <v>4800</v>
      </c>
      <c r="D33" s="1">
        <v>3280</v>
      </c>
      <c r="E33" s="1">
        <v>3540</v>
      </c>
      <c r="F33" s="1">
        <v>2890</v>
      </c>
      <c r="G33" s="1">
        <v>4970</v>
      </c>
      <c r="H33" s="1">
        <v>4190</v>
      </c>
      <c r="I33" s="1">
        <v>2660</v>
      </c>
      <c r="J33" s="1">
        <f t="shared" si="14"/>
        <v>3726.25</v>
      </c>
      <c r="K33" s="1">
        <f t="shared" si="15"/>
        <v>794.16524571401385</v>
      </c>
    </row>
    <row r="34" spans="1:11" x14ac:dyDescent="0.25">
      <c r="A34" s="1" t="s">
        <v>12</v>
      </c>
      <c r="B34" s="1">
        <v>3230</v>
      </c>
      <c r="C34" s="1">
        <v>4470</v>
      </c>
      <c r="D34" s="1">
        <v>3130</v>
      </c>
      <c r="E34" s="1">
        <v>3370</v>
      </c>
      <c r="F34" s="1">
        <v>2690</v>
      </c>
      <c r="G34" s="1">
        <v>4750</v>
      </c>
      <c r="H34" s="1">
        <v>3890</v>
      </c>
      <c r="I34" s="1">
        <v>2540</v>
      </c>
      <c r="J34" s="1">
        <f t="shared" si="14"/>
        <v>3508.75</v>
      </c>
      <c r="K34" s="1">
        <f t="shared" si="15"/>
        <v>746.59958310998275</v>
      </c>
    </row>
    <row r="35" spans="1:11" x14ac:dyDescent="0.25">
      <c r="A35" s="1" t="s">
        <v>12</v>
      </c>
      <c r="B35" s="1">
        <v>2980</v>
      </c>
      <c r="C35" s="1">
        <v>4200</v>
      </c>
      <c r="D35" s="1">
        <v>2990</v>
      </c>
      <c r="E35" s="1">
        <v>3210</v>
      </c>
      <c r="F35" s="1">
        <v>2490</v>
      </c>
      <c r="G35" s="1">
        <v>4490</v>
      </c>
      <c r="H35" s="1">
        <v>3560</v>
      </c>
      <c r="I35" s="1">
        <v>2430</v>
      </c>
      <c r="J35" s="1">
        <f t="shared" si="14"/>
        <v>3293.75</v>
      </c>
      <c r="K35" s="1">
        <f t="shared" si="15"/>
        <v>699.37360366259179</v>
      </c>
    </row>
    <row r="36" spans="1:11" x14ac:dyDescent="0.25">
      <c r="A36" s="1" t="s">
        <v>12</v>
      </c>
      <c r="B36" s="1">
        <v>2780</v>
      </c>
      <c r="C36" s="1">
        <v>3960</v>
      </c>
      <c r="D36" s="1">
        <v>2870</v>
      </c>
      <c r="E36" s="1">
        <v>3040</v>
      </c>
      <c r="F36" s="1">
        <v>2300</v>
      </c>
      <c r="G36" s="1">
        <v>4240</v>
      </c>
      <c r="H36" s="1">
        <v>3300</v>
      </c>
      <c r="I36" s="1">
        <v>2320</v>
      </c>
      <c r="J36" s="1">
        <f t="shared" si="14"/>
        <v>3101.25</v>
      </c>
      <c r="K36" s="1">
        <f t="shared" si="15"/>
        <v>660.15978179528634</v>
      </c>
    </row>
    <row r="37" spans="1:11" x14ac:dyDescent="0.25">
      <c r="A37" s="1" t="s">
        <v>12</v>
      </c>
      <c r="B37" s="1">
        <v>2570</v>
      </c>
      <c r="C37" s="1">
        <v>3710</v>
      </c>
      <c r="D37" s="1">
        <v>2730</v>
      </c>
      <c r="E37" s="1">
        <v>2890</v>
      </c>
      <c r="F37" s="1">
        <v>2070</v>
      </c>
      <c r="G37" s="1">
        <v>3980</v>
      </c>
      <c r="H37" s="1">
        <v>3050</v>
      </c>
      <c r="I37" s="1">
        <v>2200</v>
      </c>
      <c r="J37" s="1">
        <f t="shared" si="14"/>
        <v>2900</v>
      </c>
      <c r="K37" s="1">
        <f t="shared" si="15"/>
        <v>628.66922940446193</v>
      </c>
    </row>
    <row r="38" spans="1:11" x14ac:dyDescent="0.25">
      <c r="A38" s="1" t="s">
        <v>16</v>
      </c>
    </row>
    <row r="39" spans="1:11" x14ac:dyDescent="0.25">
      <c r="A39" s="1" t="s">
        <v>11</v>
      </c>
      <c r="B39" s="1">
        <v>4590</v>
      </c>
      <c r="C39" s="1">
        <v>5280</v>
      </c>
      <c r="D39" s="1">
        <v>4950</v>
      </c>
      <c r="E39" s="1">
        <v>5110</v>
      </c>
      <c r="F39" s="1">
        <v>3010</v>
      </c>
      <c r="G39" s="1">
        <v>4380</v>
      </c>
      <c r="H39" s="1">
        <v>4400</v>
      </c>
      <c r="I39" s="1">
        <v>4760</v>
      </c>
      <c r="J39" s="1">
        <f>AVERAGE(B39:I39)</f>
        <v>4560</v>
      </c>
      <c r="K39" s="1">
        <f>_xlfn.STDEV.P(B39:I39)</f>
        <v>659.01441562381626</v>
      </c>
    </row>
    <row r="40" spans="1:11" x14ac:dyDescent="0.25">
      <c r="A40" s="1" t="s">
        <v>11</v>
      </c>
      <c r="B40" s="1">
        <v>4430</v>
      </c>
      <c r="C40" s="1">
        <v>5280</v>
      </c>
      <c r="D40" s="1">
        <v>5080</v>
      </c>
      <c r="E40" s="1">
        <v>5270</v>
      </c>
      <c r="F40" s="1">
        <v>3210</v>
      </c>
      <c r="G40" s="1">
        <v>4490</v>
      </c>
      <c r="H40" s="1">
        <v>4470</v>
      </c>
      <c r="I40" s="1">
        <v>4830</v>
      </c>
      <c r="J40" s="1">
        <f t="shared" ref="J40:J46" si="16">AVERAGE(B40:I40)</f>
        <v>4632.5</v>
      </c>
      <c r="K40" s="1">
        <f t="shared" ref="K40:K46" si="17">_xlfn.STDEV.P(B40:I40)</f>
        <v>630.09423898334444</v>
      </c>
    </row>
    <row r="41" spans="1:11" x14ac:dyDescent="0.25">
      <c r="A41" s="1" t="s">
        <v>11</v>
      </c>
      <c r="B41" s="1">
        <v>4320</v>
      </c>
      <c r="C41" s="1">
        <v>5210</v>
      </c>
      <c r="D41" s="1">
        <v>5090</v>
      </c>
      <c r="E41" s="1">
        <v>5330</v>
      </c>
      <c r="F41" s="1">
        <v>3220</v>
      </c>
      <c r="G41" s="1">
        <v>4390</v>
      </c>
      <c r="H41" s="1">
        <v>4400</v>
      </c>
      <c r="I41" s="1">
        <v>4740</v>
      </c>
      <c r="J41" s="1">
        <f t="shared" si="16"/>
        <v>4587.5</v>
      </c>
      <c r="K41" s="1">
        <f t="shared" si="17"/>
        <v>635.44767683893531</v>
      </c>
    </row>
    <row r="42" spans="1:11" x14ac:dyDescent="0.25">
      <c r="A42" s="1" t="s">
        <v>11</v>
      </c>
      <c r="B42" s="1">
        <v>4180</v>
      </c>
      <c r="C42" s="1">
        <v>5120</v>
      </c>
      <c r="D42" s="1">
        <v>5060</v>
      </c>
      <c r="E42" s="1">
        <v>5360</v>
      </c>
      <c r="F42" s="1">
        <v>3100</v>
      </c>
      <c r="G42" s="1">
        <v>4140</v>
      </c>
      <c r="H42" s="1">
        <v>4210</v>
      </c>
      <c r="I42" s="1">
        <v>4540</v>
      </c>
      <c r="J42" s="1">
        <f t="shared" si="16"/>
        <v>4463.75</v>
      </c>
      <c r="K42" s="1">
        <f t="shared" si="17"/>
        <v>680.51336320457369</v>
      </c>
    </row>
    <row r="43" spans="1:11" x14ac:dyDescent="0.25">
      <c r="A43" s="1" t="s">
        <v>11</v>
      </c>
      <c r="B43" s="1">
        <v>4020</v>
      </c>
      <c r="C43" s="1">
        <v>4960</v>
      </c>
      <c r="D43" s="1">
        <v>4970</v>
      </c>
      <c r="E43" s="1">
        <v>5340</v>
      </c>
      <c r="F43" s="1">
        <v>2950</v>
      </c>
      <c r="G43" s="1">
        <v>3770</v>
      </c>
      <c r="H43" s="1">
        <v>3960</v>
      </c>
      <c r="I43" s="1">
        <v>4270</v>
      </c>
      <c r="J43" s="1">
        <f t="shared" si="16"/>
        <v>4280</v>
      </c>
      <c r="K43" s="1">
        <f t="shared" si="17"/>
        <v>729.82874703590562</v>
      </c>
    </row>
    <row r="44" spans="1:11" x14ac:dyDescent="0.25">
      <c r="A44" s="1" t="s">
        <v>11</v>
      </c>
      <c r="B44" s="1">
        <v>3850</v>
      </c>
      <c r="C44" s="1">
        <v>4780</v>
      </c>
      <c r="D44" s="1">
        <v>4830</v>
      </c>
      <c r="E44" s="1">
        <v>5300</v>
      </c>
      <c r="F44" s="1">
        <v>2780</v>
      </c>
      <c r="G44" s="1">
        <v>3400</v>
      </c>
      <c r="H44" s="1">
        <v>3710</v>
      </c>
      <c r="I44" s="1">
        <v>3990</v>
      </c>
      <c r="J44" s="1">
        <f t="shared" si="16"/>
        <v>4080</v>
      </c>
      <c r="K44" s="1">
        <f t="shared" si="17"/>
        <v>781.92071209298456</v>
      </c>
    </row>
    <row r="45" spans="1:11" x14ac:dyDescent="0.25">
      <c r="A45" s="1" t="s">
        <v>11</v>
      </c>
      <c r="B45" s="1">
        <v>3660</v>
      </c>
      <c r="C45" s="1">
        <v>4600</v>
      </c>
      <c r="D45" s="1">
        <v>4660</v>
      </c>
      <c r="E45" s="1">
        <v>5240</v>
      </c>
      <c r="F45" s="1">
        <v>2590</v>
      </c>
      <c r="G45" s="1">
        <v>3010</v>
      </c>
      <c r="H45" s="1">
        <v>3440</v>
      </c>
      <c r="I45" s="1">
        <v>3670</v>
      </c>
      <c r="J45" s="1">
        <f t="shared" si="16"/>
        <v>3858.75</v>
      </c>
      <c r="K45" s="1">
        <f t="shared" si="17"/>
        <v>842.60663271778253</v>
      </c>
    </row>
    <row r="46" spans="1:11" x14ac:dyDescent="0.25">
      <c r="A46" s="1" t="s">
        <v>11</v>
      </c>
      <c r="B46" s="1">
        <v>3450</v>
      </c>
      <c r="C46" s="1">
        <v>4400</v>
      </c>
      <c r="D46" s="1">
        <v>4410</v>
      </c>
      <c r="E46" s="1">
        <v>5110</v>
      </c>
      <c r="F46" s="1">
        <v>2380</v>
      </c>
      <c r="G46" s="1">
        <v>2620</v>
      </c>
      <c r="H46" s="1">
        <v>3170</v>
      </c>
      <c r="I46" s="1">
        <v>3340</v>
      </c>
      <c r="J46" s="1">
        <f t="shared" si="16"/>
        <v>3610</v>
      </c>
      <c r="K46" s="1">
        <f t="shared" si="17"/>
        <v>887.35562205916062</v>
      </c>
    </row>
    <row r="48" spans="1:11" x14ac:dyDescent="0.25">
      <c r="A48" s="1" t="s">
        <v>12</v>
      </c>
      <c r="B48" s="1">
        <v>3480</v>
      </c>
      <c r="C48" s="1">
        <v>5170</v>
      </c>
      <c r="D48" s="1">
        <v>5020</v>
      </c>
      <c r="E48" s="1">
        <v>5450</v>
      </c>
      <c r="F48" s="1">
        <v>2630</v>
      </c>
      <c r="G48" s="1">
        <v>5090</v>
      </c>
      <c r="H48" s="1">
        <v>5630</v>
      </c>
      <c r="I48" s="1">
        <v>5690</v>
      </c>
      <c r="J48" s="1">
        <f>AVERAGE(B48:I48)</f>
        <v>4770</v>
      </c>
      <c r="K48" s="1">
        <f>_xlfn.STDEV.P(B48:I48)</f>
        <v>1037.8463277383603</v>
      </c>
    </row>
    <row r="49" spans="1:11" x14ac:dyDescent="0.25">
      <c r="A49" s="1" t="s">
        <v>12</v>
      </c>
      <c r="B49" s="1">
        <v>3680</v>
      </c>
      <c r="C49" s="1">
        <v>5140</v>
      </c>
      <c r="D49" s="1">
        <v>5280</v>
      </c>
      <c r="E49" s="1">
        <v>5650</v>
      </c>
      <c r="F49" s="1">
        <v>2910</v>
      </c>
      <c r="G49" s="1">
        <v>5110</v>
      </c>
      <c r="H49" s="1">
        <v>5550</v>
      </c>
      <c r="I49" s="1">
        <v>5630</v>
      </c>
      <c r="J49" s="1">
        <f t="shared" ref="J49:J55" si="18">AVERAGE(B49:I49)</f>
        <v>4868.75</v>
      </c>
      <c r="K49" s="1">
        <f t="shared" ref="K49:K55" si="19">_xlfn.STDEV.P(B49:I49)</f>
        <v>948.99206398156991</v>
      </c>
    </row>
    <row r="50" spans="1:11" x14ac:dyDescent="0.25">
      <c r="A50" s="1" t="s">
        <v>12</v>
      </c>
      <c r="B50" s="1">
        <v>3780</v>
      </c>
      <c r="C50" s="1">
        <v>5080</v>
      </c>
      <c r="D50" s="1">
        <v>5260</v>
      </c>
      <c r="E50" s="1">
        <v>5680</v>
      </c>
      <c r="F50" s="1">
        <v>3100</v>
      </c>
      <c r="G50" s="1">
        <v>5020</v>
      </c>
      <c r="H50" s="1">
        <v>5440</v>
      </c>
      <c r="I50" s="1">
        <v>5500</v>
      </c>
      <c r="J50" s="1">
        <f t="shared" si="18"/>
        <v>4857.5</v>
      </c>
      <c r="K50" s="1">
        <f t="shared" si="19"/>
        <v>859.96729588979133</v>
      </c>
    </row>
    <row r="51" spans="1:11" x14ac:dyDescent="0.25">
      <c r="A51" s="1" t="s">
        <v>12</v>
      </c>
      <c r="B51" s="1">
        <v>3840</v>
      </c>
      <c r="C51" s="1">
        <v>4950</v>
      </c>
      <c r="D51" s="1">
        <v>5100</v>
      </c>
      <c r="E51" s="1">
        <v>5630</v>
      </c>
      <c r="F51" s="1">
        <v>3200</v>
      </c>
      <c r="G51" s="1">
        <v>4820</v>
      </c>
      <c r="H51" s="1">
        <v>5290</v>
      </c>
      <c r="I51" s="1">
        <v>5330</v>
      </c>
      <c r="J51" s="1">
        <f t="shared" si="18"/>
        <v>4770</v>
      </c>
      <c r="K51" s="1">
        <f t="shared" si="19"/>
        <v>774.37071225608736</v>
      </c>
    </row>
    <row r="52" spans="1:11" x14ac:dyDescent="0.25">
      <c r="A52" s="1" t="s">
        <v>12</v>
      </c>
      <c r="B52" s="1">
        <v>3840</v>
      </c>
      <c r="C52" s="1">
        <v>4770</v>
      </c>
      <c r="D52" s="1">
        <v>4830</v>
      </c>
      <c r="E52" s="1">
        <v>5530</v>
      </c>
      <c r="F52" s="1">
        <v>3200</v>
      </c>
      <c r="G52" s="1">
        <v>4490</v>
      </c>
      <c r="H52" s="1">
        <v>5090</v>
      </c>
      <c r="I52" s="1">
        <v>5130</v>
      </c>
      <c r="J52" s="1">
        <f t="shared" si="18"/>
        <v>4610</v>
      </c>
      <c r="K52" s="1">
        <f t="shared" si="19"/>
        <v>708.57250863972979</v>
      </c>
    </row>
    <row r="53" spans="1:11" x14ac:dyDescent="0.25">
      <c r="A53" s="1" t="s">
        <v>12</v>
      </c>
      <c r="B53" s="1">
        <v>3770</v>
      </c>
      <c r="C53" s="1">
        <v>4560</v>
      </c>
      <c r="D53" s="1">
        <v>4400</v>
      </c>
      <c r="E53" s="1">
        <v>5370</v>
      </c>
      <c r="F53" s="1">
        <v>3100</v>
      </c>
      <c r="G53" s="1">
        <v>4050</v>
      </c>
      <c r="H53" s="1">
        <v>4870</v>
      </c>
      <c r="I53" s="1">
        <v>4890</v>
      </c>
      <c r="J53" s="1">
        <f t="shared" si="18"/>
        <v>4376.25</v>
      </c>
      <c r="K53" s="1">
        <f t="shared" si="19"/>
        <v>673.83116394242256</v>
      </c>
    </row>
    <row r="54" spans="1:11" x14ac:dyDescent="0.25">
      <c r="A54" s="1" t="s">
        <v>12</v>
      </c>
      <c r="B54" s="1">
        <v>3620</v>
      </c>
      <c r="C54" s="1">
        <v>4290</v>
      </c>
      <c r="D54" s="1">
        <v>3900</v>
      </c>
      <c r="E54" s="1">
        <v>5120</v>
      </c>
      <c r="F54" s="1">
        <v>2950</v>
      </c>
      <c r="G54" s="1">
        <v>3550</v>
      </c>
      <c r="H54" s="1">
        <v>4620</v>
      </c>
      <c r="I54" s="1">
        <v>4610</v>
      </c>
      <c r="J54" s="1">
        <f t="shared" si="18"/>
        <v>4082.5</v>
      </c>
      <c r="K54" s="1">
        <f t="shared" si="19"/>
        <v>661.43310319336149</v>
      </c>
    </row>
    <row r="55" spans="1:11" x14ac:dyDescent="0.25">
      <c r="A55" s="1" t="s">
        <v>12</v>
      </c>
      <c r="B55" s="1">
        <v>3410</v>
      </c>
      <c r="C55" s="1">
        <v>4000</v>
      </c>
      <c r="D55" s="1">
        <v>3400</v>
      </c>
      <c r="E55" s="1">
        <v>4800</v>
      </c>
      <c r="F55" s="1">
        <v>2760</v>
      </c>
      <c r="G55" s="1">
        <v>3030</v>
      </c>
      <c r="H55" s="1">
        <v>4350</v>
      </c>
      <c r="I55" s="1">
        <v>4310</v>
      </c>
      <c r="J55" s="1">
        <f t="shared" si="18"/>
        <v>3757.5</v>
      </c>
      <c r="K55" s="1">
        <f t="shared" si="19"/>
        <v>668.46372377265175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7B9FF-44D8-4CCA-94E9-49694AF5395A}">
  <dimension ref="A1:Z21"/>
  <sheetViews>
    <sheetView topLeftCell="G13" zoomScaleNormal="100" workbookViewId="0">
      <selection activeCell="H33" sqref="H33"/>
    </sheetView>
  </sheetViews>
  <sheetFormatPr defaultRowHeight="15" x14ac:dyDescent="0.25"/>
  <cols>
    <col min="1" max="16384" width="9.140625" style="1"/>
  </cols>
  <sheetData>
    <row r="1" spans="1:26" x14ac:dyDescent="0.25">
      <c r="A1" s="1" t="s">
        <v>22</v>
      </c>
      <c r="O1" s="1" t="s">
        <v>21</v>
      </c>
      <c r="X1" s="1" t="s">
        <v>10</v>
      </c>
      <c r="Y1" s="1" t="s">
        <v>23</v>
      </c>
      <c r="Z1" s="1" t="s">
        <v>24</v>
      </c>
    </row>
    <row r="2" spans="1:26" x14ac:dyDescent="0.25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  <c r="O2" s="1" t="s">
        <v>23</v>
      </c>
      <c r="P2" s="1" t="s">
        <v>24</v>
      </c>
      <c r="X2" s="1">
        <v>40</v>
      </c>
      <c r="Y2" s="1">
        <f>O3</f>
        <v>1271.625</v>
      </c>
      <c r="Z2" s="1">
        <f>P3</f>
        <v>922.875</v>
      </c>
    </row>
    <row r="3" spans="1:26" x14ac:dyDescent="0.25">
      <c r="A3" s="1" t="s">
        <v>23</v>
      </c>
      <c r="B3" s="2">
        <v>1494</v>
      </c>
      <c r="C3" s="2">
        <v>1596</v>
      </c>
      <c r="D3" s="2">
        <v>1200</v>
      </c>
      <c r="E3" s="2">
        <v>200</v>
      </c>
      <c r="F3" s="2">
        <v>3527</v>
      </c>
      <c r="G3" s="2">
        <v>843</v>
      </c>
      <c r="H3" s="2">
        <v>738</v>
      </c>
      <c r="I3" s="2">
        <v>575</v>
      </c>
      <c r="J3" s="1">
        <f>AVERAGE(B3:I3)</f>
        <v>1271.625</v>
      </c>
      <c r="K3" s="1">
        <f>_xlfn.STDEV.P(B3:I3)</f>
        <v>958.42695828894546</v>
      </c>
      <c r="M3" s="1" t="s">
        <v>25</v>
      </c>
      <c r="N3" s="1">
        <v>40</v>
      </c>
      <c r="O3" s="1">
        <f t="shared" ref="O3:O10" si="0">J3</f>
        <v>1271.625</v>
      </c>
      <c r="P3" s="1">
        <f t="shared" ref="P3:P10" si="1">AVERAGE(J12)</f>
        <v>922.875</v>
      </c>
      <c r="X3" s="1">
        <v>80</v>
      </c>
      <c r="Y3" s="1">
        <f t="shared" ref="Y3:Z9" si="2">O4</f>
        <v>875.125</v>
      </c>
      <c r="Z3" s="1">
        <f t="shared" si="2"/>
        <v>561.125</v>
      </c>
    </row>
    <row r="4" spans="1:26" x14ac:dyDescent="0.25">
      <c r="A4" s="1" t="s">
        <v>23</v>
      </c>
      <c r="B4" s="2">
        <v>926</v>
      </c>
      <c r="C4" s="2">
        <v>1168</v>
      </c>
      <c r="D4" s="2">
        <v>971</v>
      </c>
      <c r="E4" s="2">
        <v>165</v>
      </c>
      <c r="F4" s="2">
        <v>3039</v>
      </c>
      <c r="G4" s="2">
        <v>382</v>
      </c>
      <c r="H4" s="2">
        <v>183</v>
      </c>
      <c r="I4" s="2">
        <v>167</v>
      </c>
      <c r="J4" s="1">
        <f t="shared" ref="J4:J10" si="3">AVERAGE(B4:I4)</f>
        <v>875.125</v>
      </c>
      <c r="K4" s="1">
        <f t="shared" ref="K4:K10" si="4">_xlfn.STDEV.P(B4:I4)</f>
        <v>901.93118328118578</v>
      </c>
      <c r="N4" s="1">
        <v>80</v>
      </c>
      <c r="O4" s="1">
        <f t="shared" si="0"/>
        <v>875.125</v>
      </c>
      <c r="P4" s="1">
        <f t="shared" si="1"/>
        <v>561.125</v>
      </c>
      <c r="X4" s="1">
        <v>120</v>
      </c>
      <c r="Y4" s="1">
        <f t="shared" si="2"/>
        <v>711.5</v>
      </c>
      <c r="Z4" s="1">
        <f t="shared" si="2"/>
        <v>366.5</v>
      </c>
    </row>
    <row r="5" spans="1:26" x14ac:dyDescent="0.25">
      <c r="A5" s="1" t="s">
        <v>23</v>
      </c>
      <c r="B5" s="2">
        <v>615</v>
      </c>
      <c r="C5" s="2">
        <v>994</v>
      </c>
      <c r="D5" s="2">
        <v>890</v>
      </c>
      <c r="E5" s="2">
        <v>144</v>
      </c>
      <c r="F5" s="2">
        <v>2593</v>
      </c>
      <c r="G5" s="2">
        <v>228</v>
      </c>
      <c r="H5" s="2">
        <v>111</v>
      </c>
      <c r="I5" s="2">
        <v>117</v>
      </c>
      <c r="J5" s="1">
        <f t="shared" si="3"/>
        <v>711.5</v>
      </c>
      <c r="K5" s="1">
        <f t="shared" si="4"/>
        <v>785.08614177044296</v>
      </c>
      <c r="N5" s="1">
        <v>120</v>
      </c>
      <c r="O5" s="1">
        <f t="shared" si="0"/>
        <v>711.5</v>
      </c>
      <c r="P5" s="1">
        <f t="shared" si="1"/>
        <v>366.5</v>
      </c>
      <c r="X5" s="1">
        <v>160</v>
      </c>
      <c r="Y5" s="1">
        <f t="shared" si="2"/>
        <v>629.875</v>
      </c>
      <c r="Z5" s="1">
        <f t="shared" si="2"/>
        <v>284.75</v>
      </c>
    </row>
    <row r="6" spans="1:26" x14ac:dyDescent="0.25">
      <c r="A6" s="1" t="s">
        <v>23</v>
      </c>
      <c r="B6" s="2">
        <v>454</v>
      </c>
      <c r="C6" s="2">
        <v>924</v>
      </c>
      <c r="D6" s="2">
        <v>870</v>
      </c>
      <c r="E6" s="2">
        <v>130</v>
      </c>
      <c r="F6" s="2">
        <v>2294</v>
      </c>
      <c r="G6" s="2">
        <v>167</v>
      </c>
      <c r="H6" s="2">
        <v>96</v>
      </c>
      <c r="I6" s="2">
        <v>104</v>
      </c>
      <c r="J6" s="1">
        <f t="shared" si="3"/>
        <v>629.875</v>
      </c>
      <c r="K6" s="1">
        <f t="shared" si="4"/>
        <v>704.45979968696577</v>
      </c>
      <c r="N6" s="1">
        <v>160</v>
      </c>
      <c r="O6" s="1">
        <f t="shared" si="0"/>
        <v>629.875</v>
      </c>
      <c r="P6" s="1">
        <f t="shared" si="1"/>
        <v>284.75</v>
      </c>
      <c r="X6" s="1">
        <v>200</v>
      </c>
      <c r="Y6" s="1">
        <f t="shared" si="2"/>
        <v>587.75</v>
      </c>
      <c r="Z6" s="1">
        <f t="shared" si="2"/>
        <v>241.625</v>
      </c>
    </row>
    <row r="7" spans="1:26" x14ac:dyDescent="0.25">
      <c r="A7" s="1" t="s">
        <v>23</v>
      </c>
      <c r="B7" s="2">
        <v>368</v>
      </c>
      <c r="C7" s="2">
        <v>928</v>
      </c>
      <c r="D7" s="2">
        <v>885</v>
      </c>
      <c r="E7" s="2">
        <v>122</v>
      </c>
      <c r="F7" s="2">
        <v>2074</v>
      </c>
      <c r="G7" s="2">
        <v>146</v>
      </c>
      <c r="H7" s="2">
        <v>86</v>
      </c>
      <c r="I7" s="2">
        <v>93</v>
      </c>
      <c r="J7" s="1">
        <f t="shared" si="3"/>
        <v>587.75</v>
      </c>
      <c r="K7" s="1">
        <f t="shared" si="4"/>
        <v>649.0332714892204</v>
      </c>
      <c r="N7" s="1">
        <v>200</v>
      </c>
      <c r="O7" s="1">
        <f t="shared" si="0"/>
        <v>587.75</v>
      </c>
      <c r="P7" s="1">
        <f t="shared" si="1"/>
        <v>241.625</v>
      </c>
      <c r="X7" s="1">
        <v>240</v>
      </c>
      <c r="Y7" s="1">
        <f t="shared" si="2"/>
        <v>568.875</v>
      </c>
      <c r="Z7" s="1">
        <f t="shared" si="2"/>
        <v>217.375</v>
      </c>
    </row>
    <row r="8" spans="1:26" x14ac:dyDescent="0.25">
      <c r="A8" s="1" t="s">
        <v>23</v>
      </c>
      <c r="B8" s="2">
        <v>333</v>
      </c>
      <c r="C8" s="2">
        <v>965</v>
      </c>
      <c r="D8" s="2">
        <v>928</v>
      </c>
      <c r="E8" s="2">
        <v>119</v>
      </c>
      <c r="F8" s="2">
        <v>1904</v>
      </c>
      <c r="G8" s="2">
        <v>137</v>
      </c>
      <c r="H8" s="2">
        <v>79</v>
      </c>
      <c r="I8" s="2">
        <v>86</v>
      </c>
      <c r="J8" s="1">
        <f t="shared" si="3"/>
        <v>568.875</v>
      </c>
      <c r="K8" s="1">
        <f t="shared" si="4"/>
        <v>610.95528426800604</v>
      </c>
      <c r="N8" s="1">
        <v>240</v>
      </c>
      <c r="O8" s="1">
        <f t="shared" si="0"/>
        <v>568.875</v>
      </c>
      <c r="P8" s="1">
        <f t="shared" si="1"/>
        <v>217.375</v>
      </c>
      <c r="X8" s="1">
        <v>280</v>
      </c>
      <c r="Y8" s="1">
        <f t="shared" si="2"/>
        <v>580.625</v>
      </c>
      <c r="Z8" s="1">
        <f t="shared" si="2"/>
        <v>201.25</v>
      </c>
    </row>
    <row r="9" spans="1:26" x14ac:dyDescent="0.25">
      <c r="A9" s="1" t="s">
        <v>23</v>
      </c>
      <c r="B9" s="2">
        <v>321</v>
      </c>
      <c r="C9" s="2">
        <v>1006</v>
      </c>
      <c r="D9" s="2">
        <v>991</v>
      </c>
      <c r="E9" s="2">
        <v>122</v>
      </c>
      <c r="F9" s="2">
        <v>1919</v>
      </c>
      <c r="G9" s="2">
        <v>132</v>
      </c>
      <c r="H9" s="2">
        <v>74</v>
      </c>
      <c r="I9" s="2">
        <v>80</v>
      </c>
      <c r="J9" s="1">
        <f t="shared" si="3"/>
        <v>580.625</v>
      </c>
      <c r="K9" s="1">
        <f t="shared" si="4"/>
        <v>625.1899586325743</v>
      </c>
      <c r="N9" s="1">
        <v>280</v>
      </c>
      <c r="O9" s="1">
        <f t="shared" si="0"/>
        <v>580.625</v>
      </c>
      <c r="P9" s="1">
        <f t="shared" si="1"/>
        <v>201.25</v>
      </c>
      <c r="X9" s="1">
        <v>320</v>
      </c>
      <c r="Y9" s="1">
        <f t="shared" si="2"/>
        <v>593</v>
      </c>
      <c r="Z9" s="1">
        <f t="shared" si="2"/>
        <v>192</v>
      </c>
    </row>
    <row r="10" spans="1:26" x14ac:dyDescent="0.25">
      <c r="A10" s="1" t="s">
        <v>23</v>
      </c>
      <c r="B10" s="2">
        <v>330</v>
      </c>
      <c r="C10" s="2">
        <v>1064</v>
      </c>
      <c r="D10" s="2">
        <v>1030</v>
      </c>
      <c r="E10" s="2">
        <v>116</v>
      </c>
      <c r="F10" s="2">
        <v>1933</v>
      </c>
      <c r="G10" s="2">
        <v>125</v>
      </c>
      <c r="H10" s="2">
        <v>70</v>
      </c>
      <c r="I10" s="2">
        <v>76</v>
      </c>
      <c r="J10" s="1">
        <f t="shared" si="3"/>
        <v>593</v>
      </c>
      <c r="K10" s="1">
        <f t="shared" si="4"/>
        <v>638.84172531230297</v>
      </c>
      <c r="N10" s="1">
        <v>320</v>
      </c>
      <c r="O10" s="1">
        <f t="shared" si="0"/>
        <v>593</v>
      </c>
      <c r="P10" s="1">
        <f t="shared" si="1"/>
        <v>192</v>
      </c>
      <c r="X10" s="1" t="s">
        <v>8</v>
      </c>
      <c r="Y10" s="1">
        <f>AVERAGE(Y2:Y9)</f>
        <v>727.296875</v>
      </c>
      <c r="Z10" s="1">
        <f>AVERAGE(Z2:Z9)</f>
        <v>373.4375</v>
      </c>
    </row>
    <row r="11" spans="1:26" x14ac:dyDescent="0.25">
      <c r="B11"/>
      <c r="C11"/>
      <c r="D11"/>
      <c r="E11"/>
      <c r="F11"/>
      <c r="G11"/>
      <c r="H11"/>
      <c r="I11"/>
      <c r="X11" s="1" t="s">
        <v>14</v>
      </c>
      <c r="Y11" s="1">
        <f>(Y9-Y2)/320</f>
        <v>-2.1207031249999999</v>
      </c>
      <c r="Z11" s="1">
        <f>(Z9-Z2)/320</f>
        <v>-2.2839843750000002</v>
      </c>
    </row>
    <row r="12" spans="1:26" x14ac:dyDescent="0.25">
      <c r="A12" s="1" t="s">
        <v>24</v>
      </c>
      <c r="B12" s="2">
        <v>288</v>
      </c>
      <c r="C12" s="2">
        <v>310</v>
      </c>
      <c r="D12" s="2">
        <v>294</v>
      </c>
      <c r="E12" s="2">
        <v>289</v>
      </c>
      <c r="F12" s="2">
        <v>794</v>
      </c>
      <c r="G12" s="2">
        <v>1317</v>
      </c>
      <c r="H12" s="2">
        <v>1678</v>
      </c>
      <c r="I12" s="2">
        <v>2413</v>
      </c>
      <c r="J12" s="1">
        <f>AVERAGE(B12:I12)</f>
        <v>922.875</v>
      </c>
      <c r="K12" s="1">
        <f>_xlfn.STDEV.P(B12:I12)</f>
        <v>753.20920691066965</v>
      </c>
      <c r="O12" s="1" t="s">
        <v>23</v>
      </c>
      <c r="P12" s="1" t="s">
        <v>24</v>
      </c>
      <c r="X12" s="1">
        <v>40</v>
      </c>
      <c r="Y12" s="1">
        <f t="shared" ref="Y12:Z19" si="5">AVERAGE(O13,Q13,S13)</f>
        <v>958.42695828894546</v>
      </c>
      <c r="Z12" s="1">
        <f t="shared" si="5"/>
        <v>753.20920691066965</v>
      </c>
    </row>
    <row r="13" spans="1:26" x14ac:dyDescent="0.25">
      <c r="A13" s="1" t="s">
        <v>24</v>
      </c>
      <c r="B13" s="2">
        <v>225</v>
      </c>
      <c r="C13" s="2">
        <v>216</v>
      </c>
      <c r="D13" s="2">
        <v>202</v>
      </c>
      <c r="E13" s="2">
        <v>216</v>
      </c>
      <c r="F13" s="2">
        <v>584</v>
      </c>
      <c r="G13" s="2">
        <v>852</v>
      </c>
      <c r="H13" s="2">
        <v>1140</v>
      </c>
      <c r="I13" s="2">
        <v>1054</v>
      </c>
      <c r="J13" s="1">
        <f t="shared" ref="J13:J19" si="6">AVERAGE(B13:I13)</f>
        <v>561.125</v>
      </c>
      <c r="K13" s="1">
        <f t="shared" ref="K13:K19" si="7">_xlfn.STDEV.P(B13:I13)</f>
        <v>378.04213968154397</v>
      </c>
      <c r="M13" s="1" t="s">
        <v>9</v>
      </c>
      <c r="N13" s="1">
        <v>40</v>
      </c>
      <c r="O13" s="1">
        <f>_xlfn.STDEV.P(B3:I3)</f>
        <v>958.42695828894546</v>
      </c>
      <c r="P13" s="1">
        <f>_xlfn.STDEV.P(B12:I12)</f>
        <v>753.20920691066965</v>
      </c>
      <c r="X13" s="1">
        <v>80</v>
      </c>
      <c r="Y13" s="1">
        <f t="shared" si="5"/>
        <v>901.93118328118578</v>
      </c>
      <c r="Z13" s="1">
        <f t="shared" si="5"/>
        <v>378.04213968154397</v>
      </c>
    </row>
    <row r="14" spans="1:26" x14ac:dyDescent="0.25">
      <c r="A14" s="1" t="s">
        <v>24</v>
      </c>
      <c r="B14" s="2">
        <v>200</v>
      </c>
      <c r="C14" s="2">
        <v>189</v>
      </c>
      <c r="D14" s="2">
        <v>178</v>
      </c>
      <c r="E14" s="2">
        <v>185</v>
      </c>
      <c r="F14" s="2">
        <v>313</v>
      </c>
      <c r="G14" s="2">
        <v>500</v>
      </c>
      <c r="H14" s="2">
        <v>757</v>
      </c>
      <c r="I14" s="2">
        <v>610</v>
      </c>
      <c r="J14" s="1">
        <f t="shared" si="6"/>
        <v>366.5</v>
      </c>
      <c r="K14" s="1">
        <f t="shared" si="7"/>
        <v>212.18211517467725</v>
      </c>
      <c r="N14" s="1">
        <v>80</v>
      </c>
      <c r="O14" s="1">
        <f t="shared" ref="O14:O20" si="8">_xlfn.STDEV.P(B4:I4)</f>
        <v>901.93118328118578</v>
      </c>
      <c r="P14" s="1">
        <f t="shared" ref="P14:P20" si="9">_xlfn.STDEV.P(B13:I13)</f>
        <v>378.04213968154397</v>
      </c>
      <c r="X14" s="1">
        <v>120</v>
      </c>
      <c r="Y14" s="1">
        <f t="shared" si="5"/>
        <v>785.08614177044296</v>
      </c>
      <c r="Z14" s="1">
        <f t="shared" si="5"/>
        <v>212.18211517467725</v>
      </c>
    </row>
    <row r="15" spans="1:26" x14ac:dyDescent="0.25">
      <c r="A15" s="1" t="s">
        <v>24</v>
      </c>
      <c r="B15" s="2">
        <v>184</v>
      </c>
      <c r="C15" s="2">
        <v>180</v>
      </c>
      <c r="D15" s="2">
        <v>166</v>
      </c>
      <c r="E15" s="2">
        <v>170</v>
      </c>
      <c r="F15" s="2">
        <v>236</v>
      </c>
      <c r="G15" s="2">
        <v>352</v>
      </c>
      <c r="H15" s="2">
        <v>585</v>
      </c>
      <c r="I15" s="2">
        <v>405</v>
      </c>
      <c r="J15" s="1">
        <f t="shared" si="6"/>
        <v>284.75</v>
      </c>
      <c r="K15" s="1">
        <f t="shared" si="7"/>
        <v>141.37781827429649</v>
      </c>
      <c r="N15" s="1">
        <v>120</v>
      </c>
      <c r="O15" s="1">
        <f t="shared" si="8"/>
        <v>785.08614177044296</v>
      </c>
      <c r="P15" s="1">
        <f t="shared" si="9"/>
        <v>212.18211517467725</v>
      </c>
      <c r="X15" s="1">
        <v>160</v>
      </c>
      <c r="Y15" s="1">
        <f t="shared" si="5"/>
        <v>704.45979968696577</v>
      </c>
      <c r="Z15" s="1">
        <f t="shared" si="5"/>
        <v>141.37781827429649</v>
      </c>
    </row>
    <row r="16" spans="1:26" x14ac:dyDescent="0.25">
      <c r="A16" s="1" t="s">
        <v>24</v>
      </c>
      <c r="B16" s="2">
        <v>172</v>
      </c>
      <c r="C16" s="2">
        <v>170</v>
      </c>
      <c r="D16" s="2">
        <v>157</v>
      </c>
      <c r="E16" s="2">
        <v>159</v>
      </c>
      <c r="F16" s="2">
        <v>201</v>
      </c>
      <c r="G16" s="2">
        <v>277</v>
      </c>
      <c r="H16" s="2">
        <v>495</v>
      </c>
      <c r="I16" s="2">
        <v>302</v>
      </c>
      <c r="J16" s="1">
        <f t="shared" si="6"/>
        <v>241.625</v>
      </c>
      <c r="K16" s="1">
        <f t="shared" si="7"/>
        <v>108.80709708010778</v>
      </c>
      <c r="N16" s="1">
        <v>160</v>
      </c>
      <c r="O16" s="1">
        <f t="shared" si="8"/>
        <v>704.45979968696577</v>
      </c>
      <c r="P16" s="1">
        <f t="shared" si="9"/>
        <v>141.37781827429649</v>
      </c>
      <c r="X16" s="1">
        <v>200</v>
      </c>
      <c r="Y16" s="1">
        <f t="shared" si="5"/>
        <v>649.0332714892204</v>
      </c>
      <c r="Z16" s="1">
        <f t="shared" si="5"/>
        <v>108.80709708010778</v>
      </c>
    </row>
    <row r="17" spans="1:26" x14ac:dyDescent="0.25">
      <c r="A17" s="1" t="s">
        <v>24</v>
      </c>
      <c r="B17" s="2">
        <v>167</v>
      </c>
      <c r="C17" s="2">
        <v>164</v>
      </c>
      <c r="D17" s="2">
        <v>153</v>
      </c>
      <c r="E17" s="2">
        <v>153</v>
      </c>
      <c r="F17" s="2">
        <v>183</v>
      </c>
      <c r="G17" s="2">
        <v>235</v>
      </c>
      <c r="H17" s="2">
        <v>437</v>
      </c>
      <c r="I17" s="2">
        <v>247</v>
      </c>
      <c r="J17" s="1">
        <f t="shared" si="6"/>
        <v>217.375</v>
      </c>
      <c r="K17" s="1">
        <f t="shared" si="7"/>
        <v>89.638074360173533</v>
      </c>
      <c r="N17" s="1">
        <v>200</v>
      </c>
      <c r="O17" s="1">
        <f t="shared" si="8"/>
        <v>649.0332714892204</v>
      </c>
      <c r="P17" s="1">
        <f t="shared" si="9"/>
        <v>108.80709708010778</v>
      </c>
      <c r="X17" s="1">
        <v>240</v>
      </c>
      <c r="Y17" s="1">
        <f t="shared" si="5"/>
        <v>610.95528426800604</v>
      </c>
      <c r="Z17" s="1">
        <f t="shared" si="5"/>
        <v>89.638074360173533</v>
      </c>
    </row>
    <row r="18" spans="1:26" x14ac:dyDescent="0.25">
      <c r="A18" s="1" t="s">
        <v>24</v>
      </c>
      <c r="B18" s="2">
        <v>161</v>
      </c>
      <c r="C18" s="2">
        <v>159</v>
      </c>
      <c r="D18" s="2">
        <v>148</v>
      </c>
      <c r="E18" s="2">
        <v>147</v>
      </c>
      <c r="F18" s="2">
        <v>171</v>
      </c>
      <c r="G18" s="2">
        <v>211</v>
      </c>
      <c r="H18" s="2">
        <v>397</v>
      </c>
      <c r="I18" s="2">
        <v>216</v>
      </c>
      <c r="J18" s="1">
        <f t="shared" si="6"/>
        <v>201.25</v>
      </c>
      <c r="K18" s="1">
        <f t="shared" si="7"/>
        <v>78.046060118368558</v>
      </c>
      <c r="N18" s="1">
        <v>240</v>
      </c>
      <c r="O18" s="1">
        <f t="shared" si="8"/>
        <v>610.95528426800604</v>
      </c>
      <c r="P18" s="1">
        <f t="shared" si="9"/>
        <v>89.638074360173533</v>
      </c>
      <c r="X18" s="1">
        <v>280</v>
      </c>
      <c r="Y18" s="1">
        <f t="shared" si="5"/>
        <v>625.1899586325743</v>
      </c>
      <c r="Z18" s="1">
        <f t="shared" si="5"/>
        <v>78.046060118368558</v>
      </c>
    </row>
    <row r="19" spans="1:26" x14ac:dyDescent="0.25">
      <c r="A19" s="1" t="s">
        <v>24</v>
      </c>
      <c r="B19" s="2">
        <v>157</v>
      </c>
      <c r="C19" s="2">
        <v>155</v>
      </c>
      <c r="D19" s="2">
        <v>145</v>
      </c>
      <c r="E19" s="2">
        <v>144</v>
      </c>
      <c r="F19" s="2">
        <v>164</v>
      </c>
      <c r="G19" s="2">
        <v>197</v>
      </c>
      <c r="H19" s="2">
        <v>376</v>
      </c>
      <c r="I19" s="2">
        <v>198</v>
      </c>
      <c r="J19" s="1">
        <f t="shared" si="6"/>
        <v>192</v>
      </c>
      <c r="K19" s="1">
        <f t="shared" si="7"/>
        <v>72.291078287711272</v>
      </c>
      <c r="N19" s="1">
        <v>280</v>
      </c>
      <c r="O19" s="1">
        <f t="shared" si="8"/>
        <v>625.1899586325743</v>
      </c>
      <c r="P19" s="1">
        <f t="shared" si="9"/>
        <v>78.046060118368558</v>
      </c>
      <c r="X19" s="1">
        <v>320</v>
      </c>
      <c r="Y19" s="1">
        <f t="shared" si="5"/>
        <v>638.84172531230297</v>
      </c>
      <c r="Z19" s="1">
        <f t="shared" si="5"/>
        <v>72.291078287711272</v>
      </c>
    </row>
    <row r="20" spans="1:26" x14ac:dyDescent="0.25">
      <c r="N20" s="1">
        <v>320</v>
      </c>
      <c r="O20" s="1">
        <f t="shared" si="8"/>
        <v>638.84172531230297</v>
      </c>
      <c r="P20" s="1">
        <f t="shared" si="9"/>
        <v>72.291078287711272</v>
      </c>
      <c r="X20" s="1" t="s">
        <v>15</v>
      </c>
      <c r="Y20" s="1">
        <f>AVERAGE(Y12:Y19)</f>
        <v>734.24054034120536</v>
      </c>
      <c r="Z20" s="1">
        <f>AVERAGE(Z12:Z19)</f>
        <v>229.19919873594355</v>
      </c>
    </row>
    <row r="21" spans="1:26" x14ac:dyDescent="0.25">
      <c r="Y21" s="1">
        <f>Y20/Y10</f>
        <v>1.0095472228465239</v>
      </c>
      <c r="Z21" s="1">
        <f>Z20/Z10</f>
        <v>0.613755176531397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41406-F26A-4C31-9F7C-FE46142FD65D}">
  <dimension ref="A1:Z21"/>
  <sheetViews>
    <sheetView topLeftCell="D7" zoomScaleNormal="100" workbookViewId="0">
      <selection activeCell="AA35" sqref="AA35"/>
    </sheetView>
  </sheetViews>
  <sheetFormatPr defaultRowHeight="15" x14ac:dyDescent="0.25"/>
  <cols>
    <col min="1" max="16384" width="9.140625" style="1"/>
  </cols>
  <sheetData>
    <row r="1" spans="1:26" x14ac:dyDescent="0.25">
      <c r="A1" s="1" t="s">
        <v>28</v>
      </c>
      <c r="O1" s="1" t="s">
        <v>27</v>
      </c>
      <c r="Q1" s="1" t="s">
        <v>26</v>
      </c>
      <c r="X1" s="1" t="s">
        <v>10</v>
      </c>
      <c r="Y1" s="1" t="s">
        <v>11</v>
      </c>
      <c r="Z1" s="1" t="s">
        <v>26</v>
      </c>
    </row>
    <row r="2" spans="1:26" x14ac:dyDescent="0.25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  <c r="O2" s="1" t="s">
        <v>11</v>
      </c>
      <c r="P2" s="1" t="s">
        <v>26</v>
      </c>
      <c r="Q2" s="1" t="s">
        <v>29</v>
      </c>
      <c r="R2" s="1" t="s">
        <v>30</v>
      </c>
      <c r="T2" s="1">
        <f>P10*(1/Z11)</f>
        <v>-806.0421775380089</v>
      </c>
      <c r="X2" s="1">
        <v>40</v>
      </c>
      <c r="Y2" s="1">
        <f>AVERAGE(O3)</f>
        <v>4181.875</v>
      </c>
      <c r="Z2" s="1">
        <f>AVERAGE(P3)</f>
        <v>2391.6666666666665</v>
      </c>
    </row>
    <row r="3" spans="1:26" x14ac:dyDescent="0.25">
      <c r="A3" s="1" t="s">
        <v>11</v>
      </c>
      <c r="B3" s="2">
        <v>5216</v>
      </c>
      <c r="C3" s="2">
        <v>5530</v>
      </c>
      <c r="D3" s="2">
        <v>5073</v>
      </c>
      <c r="E3" s="2">
        <v>3937</v>
      </c>
      <c r="F3" s="2">
        <v>3253</v>
      </c>
      <c r="G3" s="2">
        <v>3651</v>
      </c>
      <c r="H3" s="2">
        <v>3216</v>
      </c>
      <c r="I3" s="2">
        <v>3579</v>
      </c>
      <c r="J3" s="1">
        <f>AVERAGE(B3:I3)</f>
        <v>4181.875</v>
      </c>
      <c r="K3" s="1">
        <f>_xlfn.STDEV.P(B3:I3)</f>
        <v>879.05722758817012</v>
      </c>
      <c r="M3" s="1" t="s">
        <v>25</v>
      </c>
      <c r="N3" s="1">
        <v>40</v>
      </c>
      <c r="O3" s="1">
        <f>J3</f>
        <v>4181.875</v>
      </c>
      <c r="P3" s="1">
        <f>J12</f>
        <v>2391.6666666666665</v>
      </c>
      <c r="Q3" s="1">
        <f>AVERAGE(C12,F12)</f>
        <v>2274</v>
      </c>
      <c r="R3" s="1">
        <f>AVERAGE(B12,E12,G12,D12)</f>
        <v>2450.5</v>
      </c>
      <c r="X3" s="1">
        <v>80</v>
      </c>
      <c r="Y3" s="1">
        <f t="shared" ref="Y3:Y8" si="0">AVERAGE(O4)</f>
        <v>3731.25</v>
      </c>
      <c r="Z3" s="1">
        <f t="shared" ref="Z3:Z8" si="1">AVERAGE(P4)</f>
        <v>2179</v>
      </c>
    </row>
    <row r="4" spans="1:26" x14ac:dyDescent="0.25">
      <c r="A4" s="1" t="s">
        <v>11</v>
      </c>
      <c r="B4" s="2">
        <v>4132</v>
      </c>
      <c r="C4" s="2">
        <v>4851</v>
      </c>
      <c r="D4" s="2">
        <v>4611</v>
      </c>
      <c r="E4" s="2">
        <v>3688</v>
      </c>
      <c r="F4" s="2">
        <v>2944</v>
      </c>
      <c r="G4" s="2">
        <v>3363</v>
      </c>
      <c r="H4" s="2">
        <v>2942</v>
      </c>
      <c r="I4" s="2">
        <v>3319</v>
      </c>
      <c r="J4" s="1">
        <f t="shared" ref="J4:J10" si="2">AVERAGE(B4:I4)</f>
        <v>3731.25</v>
      </c>
      <c r="K4" s="1">
        <f t="shared" ref="K4:K10" si="3">_xlfn.STDEV.P(B4:I4)</f>
        <v>683.60327493364161</v>
      </c>
      <c r="N4" s="1">
        <v>80</v>
      </c>
      <c r="O4" s="1">
        <f t="shared" ref="O4:O10" si="4">J4</f>
        <v>3731.25</v>
      </c>
      <c r="P4" s="1">
        <f t="shared" ref="P4:P10" si="5">J13</f>
        <v>2179</v>
      </c>
      <c r="Q4" s="1">
        <f t="shared" ref="Q4:Q10" si="6">AVERAGE(C13,F13)</f>
        <v>2055</v>
      </c>
      <c r="R4" s="1">
        <f t="shared" ref="R4:R9" si="7">AVERAGE(B13,E13,G13,D13)</f>
        <v>2241</v>
      </c>
      <c r="X4" s="1">
        <v>120</v>
      </c>
      <c r="Y4" s="1">
        <f t="shared" si="0"/>
        <v>3620.625</v>
      </c>
      <c r="Z4" s="1">
        <f t="shared" si="1"/>
        <v>2066.1666666666665</v>
      </c>
    </row>
    <row r="5" spans="1:26" x14ac:dyDescent="0.25">
      <c r="A5" s="1" t="s">
        <v>11</v>
      </c>
      <c r="B5" s="2">
        <v>3720</v>
      </c>
      <c r="C5" s="2">
        <v>4645</v>
      </c>
      <c r="D5" s="2">
        <v>4464</v>
      </c>
      <c r="E5" s="2">
        <v>3596</v>
      </c>
      <c r="F5" s="2">
        <v>2883</v>
      </c>
      <c r="G5" s="2">
        <v>3365</v>
      </c>
      <c r="H5" s="2">
        <v>2970</v>
      </c>
      <c r="I5" s="2">
        <v>3322</v>
      </c>
      <c r="J5" s="1">
        <f t="shared" si="2"/>
        <v>3620.625</v>
      </c>
      <c r="K5" s="1">
        <f t="shared" si="3"/>
        <v>601.35595480131394</v>
      </c>
      <c r="N5" s="1">
        <v>120</v>
      </c>
      <c r="O5" s="1">
        <f t="shared" si="4"/>
        <v>3620.625</v>
      </c>
      <c r="P5" s="1">
        <f t="shared" si="5"/>
        <v>2066.1666666666665</v>
      </c>
      <c r="Q5" s="1">
        <f t="shared" si="6"/>
        <v>1951</v>
      </c>
      <c r="R5" s="1">
        <f t="shared" si="7"/>
        <v>2123.75</v>
      </c>
      <c r="X5" s="1">
        <v>160</v>
      </c>
      <c r="Y5" s="1">
        <f t="shared" si="0"/>
        <v>3553.875</v>
      </c>
      <c r="Z5" s="1">
        <f t="shared" si="1"/>
        <v>1956.8333333333333</v>
      </c>
    </row>
    <row r="6" spans="1:26" x14ac:dyDescent="0.25">
      <c r="A6" s="1" t="s">
        <v>11</v>
      </c>
      <c r="B6" s="2">
        <v>3405</v>
      </c>
      <c r="C6" s="2">
        <v>4486</v>
      </c>
      <c r="D6" s="2">
        <v>4368</v>
      </c>
      <c r="E6" s="2">
        <v>3594</v>
      </c>
      <c r="F6" s="2">
        <v>2925</v>
      </c>
      <c r="G6" s="2">
        <v>3407</v>
      </c>
      <c r="H6" s="2">
        <v>2970</v>
      </c>
      <c r="I6" s="2">
        <v>3276</v>
      </c>
      <c r="J6" s="1">
        <f t="shared" si="2"/>
        <v>3553.875</v>
      </c>
      <c r="K6" s="1">
        <f t="shared" si="3"/>
        <v>546.65012519435129</v>
      </c>
      <c r="N6" s="1">
        <v>160</v>
      </c>
      <c r="O6" s="1">
        <f t="shared" si="4"/>
        <v>3553.875</v>
      </c>
      <c r="P6" s="1">
        <f t="shared" si="5"/>
        <v>1956.8333333333333</v>
      </c>
      <c r="Q6" s="1">
        <f t="shared" si="6"/>
        <v>1864</v>
      </c>
      <c r="R6" s="1">
        <f t="shared" si="7"/>
        <v>2003.25</v>
      </c>
      <c r="X6" s="1">
        <v>200</v>
      </c>
      <c r="Y6" s="1">
        <f t="shared" si="0"/>
        <v>3464.625</v>
      </c>
      <c r="Z6" s="1">
        <f t="shared" si="1"/>
        <v>1878</v>
      </c>
    </row>
    <row r="7" spans="1:26" x14ac:dyDescent="0.25">
      <c r="A7" s="1" t="s">
        <v>11</v>
      </c>
      <c r="B7" s="2">
        <v>3160</v>
      </c>
      <c r="C7" s="2">
        <v>4333</v>
      </c>
      <c r="D7" s="2">
        <v>4232</v>
      </c>
      <c r="E7" s="2">
        <v>3543</v>
      </c>
      <c r="F7" s="2">
        <v>2909</v>
      </c>
      <c r="G7" s="2">
        <v>3392</v>
      </c>
      <c r="H7" s="2">
        <v>2959</v>
      </c>
      <c r="I7" s="2">
        <v>3189</v>
      </c>
      <c r="J7" s="1">
        <f t="shared" si="2"/>
        <v>3464.625</v>
      </c>
      <c r="K7" s="1">
        <f t="shared" si="3"/>
        <v>510.82015854408093</v>
      </c>
      <c r="N7" s="1">
        <v>200</v>
      </c>
      <c r="O7" s="1">
        <f t="shared" si="4"/>
        <v>3464.625</v>
      </c>
      <c r="P7" s="1">
        <f t="shared" si="5"/>
        <v>1878</v>
      </c>
      <c r="Q7" s="1">
        <f t="shared" si="6"/>
        <v>1808.5</v>
      </c>
      <c r="R7" s="1">
        <f t="shared" si="7"/>
        <v>1912.75</v>
      </c>
      <c r="X7" s="1">
        <v>240</v>
      </c>
      <c r="Y7" s="1">
        <f t="shared" si="0"/>
        <v>3349.75</v>
      </c>
      <c r="Z7" s="1">
        <f t="shared" si="1"/>
        <v>1810.8333333333333</v>
      </c>
    </row>
    <row r="8" spans="1:26" x14ac:dyDescent="0.25">
      <c r="A8" s="1" t="s">
        <v>11</v>
      </c>
      <c r="B8" s="2">
        <v>2842</v>
      </c>
      <c r="C8" s="2">
        <v>4123</v>
      </c>
      <c r="D8" s="2">
        <v>4090</v>
      </c>
      <c r="E8" s="2">
        <v>3454</v>
      </c>
      <c r="F8" s="2">
        <v>2906</v>
      </c>
      <c r="G8" s="2">
        <v>3378</v>
      </c>
      <c r="H8" s="2">
        <v>2905</v>
      </c>
      <c r="I8" s="2">
        <v>3100</v>
      </c>
      <c r="J8" s="1">
        <f t="shared" si="2"/>
        <v>3349.75</v>
      </c>
      <c r="K8" s="1">
        <f t="shared" si="3"/>
        <v>483.79405484152034</v>
      </c>
      <c r="N8" s="1">
        <v>240</v>
      </c>
      <c r="O8" s="1">
        <f t="shared" si="4"/>
        <v>3349.75</v>
      </c>
      <c r="P8" s="1">
        <f t="shared" si="5"/>
        <v>1810.8333333333333</v>
      </c>
      <c r="Q8" s="1">
        <f t="shared" si="6"/>
        <v>1758.5</v>
      </c>
      <c r="R8" s="1">
        <f t="shared" si="7"/>
        <v>1837</v>
      </c>
      <c r="X8" s="1">
        <v>280</v>
      </c>
      <c r="Y8" s="1">
        <f t="shared" si="0"/>
        <v>3243.75</v>
      </c>
      <c r="Z8" s="1">
        <f t="shared" si="1"/>
        <v>1763.6666666666667</v>
      </c>
    </row>
    <row r="9" spans="1:26" x14ac:dyDescent="0.25">
      <c r="A9" s="1" t="s">
        <v>11</v>
      </c>
      <c r="B9" s="2">
        <v>2650</v>
      </c>
      <c r="C9" s="2">
        <v>3952</v>
      </c>
      <c r="D9" s="2">
        <v>3953</v>
      </c>
      <c r="E9" s="2">
        <v>3382</v>
      </c>
      <c r="F9" s="2">
        <v>2837</v>
      </c>
      <c r="G9" s="2">
        <v>3315</v>
      </c>
      <c r="H9" s="2">
        <v>2852</v>
      </c>
      <c r="I9" s="2">
        <v>3009</v>
      </c>
      <c r="J9" s="1">
        <f t="shared" si="2"/>
        <v>3243.75</v>
      </c>
      <c r="K9" s="1">
        <f t="shared" si="3"/>
        <v>468.42868987712529</v>
      </c>
      <c r="N9" s="1">
        <v>280</v>
      </c>
      <c r="O9" s="1">
        <f t="shared" si="4"/>
        <v>3243.75</v>
      </c>
      <c r="P9" s="1">
        <f t="shared" si="5"/>
        <v>1763.6666666666667</v>
      </c>
      <c r="Q9" s="1">
        <f t="shared" si="6"/>
        <v>1726.5</v>
      </c>
      <c r="R9" s="1">
        <f t="shared" si="7"/>
        <v>1782.25</v>
      </c>
      <c r="X9" s="1">
        <v>320</v>
      </c>
      <c r="Y9" s="1">
        <f>AVERAGE(O10)</f>
        <v>3112.375</v>
      </c>
      <c r="Z9" s="1">
        <f>AVERAGE(P10)</f>
        <v>1712</v>
      </c>
    </row>
    <row r="10" spans="1:26" x14ac:dyDescent="0.25">
      <c r="A10" s="1" t="s">
        <v>11</v>
      </c>
      <c r="B10" s="2">
        <v>2451</v>
      </c>
      <c r="C10" s="2">
        <v>3756</v>
      </c>
      <c r="D10" s="2">
        <v>3793</v>
      </c>
      <c r="E10" s="2">
        <v>3293</v>
      </c>
      <c r="F10" s="2">
        <v>2733</v>
      </c>
      <c r="G10" s="2">
        <v>3210</v>
      </c>
      <c r="H10" s="2">
        <v>2774</v>
      </c>
      <c r="I10" s="2">
        <v>2889</v>
      </c>
      <c r="J10" s="1">
        <f t="shared" si="2"/>
        <v>3112.375</v>
      </c>
      <c r="K10" s="1">
        <f t="shared" si="3"/>
        <v>456.26142108992735</v>
      </c>
      <c r="N10" s="1">
        <v>320</v>
      </c>
      <c r="O10" s="1">
        <f t="shared" si="4"/>
        <v>3112.375</v>
      </c>
      <c r="P10" s="1">
        <f t="shared" si="5"/>
        <v>1712</v>
      </c>
      <c r="Q10" s="1">
        <f t="shared" si="6"/>
        <v>1685</v>
      </c>
      <c r="R10" s="1">
        <f>AVERAGE(B19,E19,G19,D19)</f>
        <v>1725.5</v>
      </c>
      <c r="X10" s="1" t="s">
        <v>8</v>
      </c>
      <c r="Y10" s="1">
        <f>AVERAGE(Y2:Y9)</f>
        <v>3532.265625</v>
      </c>
      <c r="Z10" s="1">
        <f>AVERAGE(Z2:Z9)</f>
        <v>1969.7708333333333</v>
      </c>
    </row>
    <row r="11" spans="1:26" x14ac:dyDescent="0.25">
      <c r="X11" s="1" t="s">
        <v>14</v>
      </c>
      <c r="Y11" s="1">
        <f>(Y9-Y2)/320</f>
        <v>-3.3421875000000001</v>
      </c>
      <c r="Z11" s="1">
        <f>(Z9-Z2)/320</f>
        <v>-2.1239583333333329</v>
      </c>
    </row>
    <row r="12" spans="1:26" x14ac:dyDescent="0.25">
      <c r="A12" s="1" t="s">
        <v>26</v>
      </c>
      <c r="B12" s="2">
        <v>2554</v>
      </c>
      <c r="C12" s="2">
        <v>2403</v>
      </c>
      <c r="D12" s="2">
        <v>2573</v>
      </c>
      <c r="E12" s="2">
        <v>2360</v>
      </c>
      <c r="F12" s="2">
        <v>2145</v>
      </c>
      <c r="G12" s="2">
        <v>2315</v>
      </c>
      <c r="H12" s="2">
        <v>5321</v>
      </c>
      <c r="I12" s="2">
        <v>5251</v>
      </c>
      <c r="J12" s="1">
        <f>AVERAGE(B12:G12)</f>
        <v>2391.6666666666665</v>
      </c>
      <c r="K12" s="1">
        <f>_xlfn.STDEV.P(B12:G12)</f>
        <v>145.53770034675628</v>
      </c>
      <c r="O12" s="1" t="s">
        <v>11</v>
      </c>
      <c r="P12" s="1" t="s">
        <v>12</v>
      </c>
      <c r="X12" s="1">
        <v>40</v>
      </c>
      <c r="Y12" s="1">
        <f>AVERAGE(O13,Q13,S13)</f>
        <v>879.05722758817012</v>
      </c>
      <c r="Z12" s="1">
        <f>AVERAGE(P13,R13,T13)</f>
        <v>145.53770034675628</v>
      </c>
    </row>
    <row r="13" spans="1:26" x14ac:dyDescent="0.25">
      <c r="A13" s="1" t="s">
        <v>26</v>
      </c>
      <c r="B13" s="2">
        <v>2225</v>
      </c>
      <c r="C13" s="2">
        <v>2083</v>
      </c>
      <c r="D13" s="2">
        <v>2378</v>
      </c>
      <c r="E13" s="2">
        <v>2134</v>
      </c>
      <c r="F13" s="2">
        <v>2027</v>
      </c>
      <c r="G13" s="2">
        <v>2227</v>
      </c>
      <c r="H13" s="2">
        <v>5232</v>
      </c>
      <c r="I13" s="2">
        <v>5153</v>
      </c>
      <c r="J13" s="1">
        <f t="shared" ref="J13:J19" si="8">AVERAGE(B13:G13)</f>
        <v>2179</v>
      </c>
      <c r="K13" s="1">
        <f t="shared" ref="K13:K19" si="9">_xlfn.STDEV.P(B13:G13)</f>
        <v>114.28473213863697</v>
      </c>
      <c r="M13" s="1" t="s">
        <v>9</v>
      </c>
      <c r="N13" s="1">
        <v>40</v>
      </c>
      <c r="O13" s="1">
        <f>K3</f>
        <v>879.05722758817012</v>
      </c>
      <c r="P13" s="1">
        <f>K12</f>
        <v>145.53770034675628</v>
      </c>
      <c r="X13" s="1">
        <v>80</v>
      </c>
      <c r="Y13" s="1">
        <f>AVERAGE(O14,Q14,S14)</f>
        <v>539.39</v>
      </c>
      <c r="Z13" s="1">
        <f t="shared" ref="Z13:Z19" si="10">AVERAGE(P14,R14,T14)</f>
        <v>114.28473213863697</v>
      </c>
    </row>
    <row r="14" spans="1:26" x14ac:dyDescent="0.25">
      <c r="A14" s="1" t="s">
        <v>26</v>
      </c>
      <c r="B14" s="2">
        <v>2095</v>
      </c>
      <c r="C14" s="2">
        <v>1936</v>
      </c>
      <c r="D14" s="2">
        <v>2223</v>
      </c>
      <c r="E14" s="2">
        <v>2003</v>
      </c>
      <c r="F14" s="2">
        <v>1966</v>
      </c>
      <c r="G14" s="2">
        <v>2174</v>
      </c>
      <c r="H14" s="2">
        <v>5219</v>
      </c>
      <c r="I14" s="2">
        <v>5132</v>
      </c>
      <c r="J14" s="1">
        <f t="shared" si="8"/>
        <v>2066.1666666666665</v>
      </c>
      <c r="K14" s="1">
        <f t="shared" si="9"/>
        <v>106.47600146929302</v>
      </c>
      <c r="N14" s="1">
        <v>80</v>
      </c>
      <c r="O14" s="1">
        <v>539.39</v>
      </c>
      <c r="P14" s="1">
        <f t="shared" ref="P14:P20" si="11">K13</f>
        <v>114.28473213863697</v>
      </c>
      <c r="X14" s="1">
        <v>120</v>
      </c>
      <c r="Y14" s="1">
        <f t="shared" ref="Y14:Y19" si="12">AVERAGE(O15,Q15,S15)</f>
        <v>459.07</v>
      </c>
      <c r="Z14" s="1">
        <f t="shared" si="10"/>
        <v>106.47600146929302</v>
      </c>
    </row>
    <row r="15" spans="1:26" x14ac:dyDescent="0.25">
      <c r="A15" s="1" t="s">
        <v>26</v>
      </c>
      <c r="B15" s="2">
        <v>2000</v>
      </c>
      <c r="C15" s="2">
        <v>1834</v>
      </c>
      <c r="D15" s="2">
        <v>2021</v>
      </c>
      <c r="E15" s="2">
        <v>1884</v>
      </c>
      <c r="F15" s="2">
        <v>1894</v>
      </c>
      <c r="G15" s="2">
        <v>2108</v>
      </c>
      <c r="H15" s="2">
        <v>5148</v>
      </c>
      <c r="I15" s="2">
        <v>5084</v>
      </c>
      <c r="J15" s="1">
        <f t="shared" si="8"/>
        <v>1956.8333333333333</v>
      </c>
      <c r="K15" s="1">
        <f t="shared" si="9"/>
        <v>94.138933969367258</v>
      </c>
      <c r="N15" s="1">
        <v>120</v>
      </c>
      <c r="O15" s="1">
        <v>459.07</v>
      </c>
      <c r="P15" s="1">
        <f t="shared" si="11"/>
        <v>106.47600146929302</v>
      </c>
      <c r="X15" s="1">
        <v>160</v>
      </c>
      <c r="Y15" s="1">
        <f t="shared" si="12"/>
        <v>406.62</v>
      </c>
      <c r="Z15" s="1">
        <f t="shared" si="10"/>
        <v>94.138933969367258</v>
      </c>
    </row>
    <row r="16" spans="1:26" x14ac:dyDescent="0.25">
      <c r="A16" s="1" t="s">
        <v>26</v>
      </c>
      <c r="B16" s="2">
        <v>1911</v>
      </c>
      <c r="C16" s="2">
        <v>1758</v>
      </c>
      <c r="D16" s="2">
        <v>1878</v>
      </c>
      <c r="E16" s="2">
        <v>1794</v>
      </c>
      <c r="F16" s="2">
        <v>1859</v>
      </c>
      <c r="G16" s="2">
        <v>2068</v>
      </c>
      <c r="H16" s="2">
        <v>5132</v>
      </c>
      <c r="I16" s="2">
        <v>5062</v>
      </c>
      <c r="J16" s="1">
        <f t="shared" si="8"/>
        <v>1878</v>
      </c>
      <c r="K16" s="1">
        <f t="shared" si="9"/>
        <v>99.168207270946141</v>
      </c>
      <c r="N16" s="1">
        <v>160</v>
      </c>
      <c r="O16" s="1">
        <v>406.62</v>
      </c>
      <c r="P16" s="1">
        <f t="shared" si="11"/>
        <v>94.138933969367258</v>
      </c>
      <c r="X16" s="1">
        <v>200</v>
      </c>
      <c r="Y16" s="1">
        <f t="shared" si="12"/>
        <v>379.72</v>
      </c>
      <c r="Z16" s="1">
        <f t="shared" si="10"/>
        <v>99.168207270946141</v>
      </c>
    </row>
    <row r="17" spans="1:26" x14ac:dyDescent="0.25">
      <c r="A17" s="1" t="s">
        <v>26</v>
      </c>
      <c r="B17" s="2">
        <v>1854</v>
      </c>
      <c r="C17" s="2">
        <v>1686</v>
      </c>
      <c r="D17" s="2">
        <v>1768</v>
      </c>
      <c r="E17" s="2">
        <v>1720</v>
      </c>
      <c r="F17" s="2">
        <v>1831</v>
      </c>
      <c r="G17" s="2">
        <v>2006</v>
      </c>
      <c r="H17" s="2">
        <v>5116</v>
      </c>
      <c r="I17" s="2">
        <v>5029</v>
      </c>
      <c r="J17" s="1">
        <f t="shared" si="8"/>
        <v>1810.8333333333333</v>
      </c>
      <c r="K17" s="1">
        <f t="shared" si="9"/>
        <v>104.90379190265506</v>
      </c>
      <c r="N17" s="1">
        <v>200</v>
      </c>
      <c r="O17" s="1">
        <v>379.72</v>
      </c>
      <c r="P17" s="1">
        <f t="shared" si="11"/>
        <v>99.168207270946141</v>
      </c>
      <c r="X17" s="1">
        <v>240</v>
      </c>
      <c r="Y17" s="1">
        <f t="shared" si="12"/>
        <v>343.76</v>
      </c>
      <c r="Z17" s="1">
        <f t="shared" si="10"/>
        <v>104.90379190265506</v>
      </c>
    </row>
    <row r="18" spans="1:26" x14ac:dyDescent="0.25">
      <c r="A18" s="1" t="s">
        <v>26</v>
      </c>
      <c r="B18" s="2">
        <v>1796</v>
      </c>
      <c r="C18" s="2">
        <v>1629</v>
      </c>
      <c r="D18" s="2">
        <v>1695</v>
      </c>
      <c r="E18" s="2">
        <v>1689</v>
      </c>
      <c r="F18" s="2">
        <v>1824</v>
      </c>
      <c r="G18" s="2">
        <v>1949</v>
      </c>
      <c r="H18" s="2">
        <v>5088</v>
      </c>
      <c r="I18" s="2">
        <v>5017</v>
      </c>
      <c r="J18" s="1">
        <f t="shared" si="8"/>
        <v>1763.6666666666667</v>
      </c>
      <c r="K18" s="1">
        <f t="shared" si="9"/>
        <v>106.034061613343</v>
      </c>
      <c r="N18" s="1">
        <v>240</v>
      </c>
      <c r="O18" s="1">
        <v>343.76</v>
      </c>
      <c r="P18" s="1">
        <f t="shared" si="11"/>
        <v>104.90379190265506</v>
      </c>
      <c r="X18" s="1">
        <v>280</v>
      </c>
      <c r="Y18" s="1">
        <f t="shared" si="12"/>
        <v>333.29</v>
      </c>
      <c r="Z18" s="1">
        <f t="shared" si="10"/>
        <v>106.034061613343</v>
      </c>
    </row>
    <row r="19" spans="1:26" x14ac:dyDescent="0.25">
      <c r="A19" s="1" t="s">
        <v>26</v>
      </c>
      <c r="B19" s="2">
        <v>1749</v>
      </c>
      <c r="C19" s="2">
        <v>1572</v>
      </c>
      <c r="D19" s="2">
        <v>1623</v>
      </c>
      <c r="E19" s="2">
        <v>1629</v>
      </c>
      <c r="F19" s="2">
        <v>1798</v>
      </c>
      <c r="G19" s="2">
        <v>1901</v>
      </c>
      <c r="H19" s="2">
        <v>5085</v>
      </c>
      <c r="I19" s="2">
        <v>5016</v>
      </c>
      <c r="J19" s="1">
        <f t="shared" si="8"/>
        <v>1712</v>
      </c>
      <c r="K19" s="1">
        <f t="shared" si="9"/>
        <v>114.67054257015327</v>
      </c>
      <c r="N19" s="1">
        <v>280</v>
      </c>
      <c r="O19" s="1">
        <v>333.29</v>
      </c>
      <c r="P19" s="1">
        <f t="shared" si="11"/>
        <v>106.034061613343</v>
      </c>
      <c r="X19" s="1">
        <v>320</v>
      </c>
      <c r="Y19" s="1">
        <f t="shared" si="12"/>
        <v>313.77</v>
      </c>
      <c r="Z19" s="1">
        <f t="shared" si="10"/>
        <v>114.67054257015327</v>
      </c>
    </row>
    <row r="20" spans="1:26" x14ac:dyDescent="0.25">
      <c r="N20" s="1">
        <v>320</v>
      </c>
      <c r="O20" s="1">
        <v>313.77</v>
      </c>
      <c r="P20" s="1">
        <f t="shared" si="11"/>
        <v>114.67054257015327</v>
      </c>
      <c r="X20" s="1" t="s">
        <v>15</v>
      </c>
      <c r="Y20" s="1">
        <f>AVERAGE(Y12:Y19)</f>
        <v>456.83465344852124</v>
      </c>
      <c r="Z20" s="1">
        <f>AVERAGE(Z12:Z19)</f>
        <v>110.65174641014387</v>
      </c>
    </row>
    <row r="21" spans="1:26" x14ac:dyDescent="0.25">
      <c r="Y21" s="1">
        <f>Y20/Y10</f>
        <v>0.12933190817112494</v>
      </c>
      <c r="Z21" s="1">
        <f>Z20/Z10</f>
        <v>5.6174933925127776E-2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BEC9E-AA8C-4AAC-89A8-01E7389DBF52}">
  <dimension ref="A1:Z23"/>
  <sheetViews>
    <sheetView tabSelected="1" zoomScaleNormal="100" workbookViewId="0">
      <selection activeCell="R13" sqref="R13"/>
    </sheetView>
  </sheetViews>
  <sheetFormatPr defaultRowHeight="15" x14ac:dyDescent="0.25"/>
  <cols>
    <col min="1" max="16384" width="9.140625" style="1"/>
  </cols>
  <sheetData>
    <row r="1" spans="1:26" x14ac:dyDescent="0.25">
      <c r="A1" s="1" t="s">
        <v>28</v>
      </c>
      <c r="O1" s="1" t="s">
        <v>27</v>
      </c>
      <c r="Q1" s="1" t="s">
        <v>26</v>
      </c>
      <c r="X1" s="1" t="s">
        <v>10</v>
      </c>
      <c r="Y1" s="1" t="s">
        <v>11</v>
      </c>
      <c r="Z1" s="1" t="s">
        <v>26</v>
      </c>
    </row>
    <row r="2" spans="1:26" x14ac:dyDescent="0.25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  <c r="O2" s="1" t="s">
        <v>11</v>
      </c>
      <c r="P2" s="1" t="s">
        <v>26</v>
      </c>
      <c r="Q2" s="1" t="s">
        <v>29</v>
      </c>
      <c r="X2" s="1">
        <v>40</v>
      </c>
      <c r="Y2" s="1">
        <f>AVERAGE(O3)</f>
        <v>2693.625</v>
      </c>
      <c r="Z2" s="1">
        <f>AVERAGE(P3)</f>
        <v>2904.5</v>
      </c>
    </row>
    <row r="3" spans="1:26" x14ac:dyDescent="0.25">
      <c r="A3" s="1" t="s">
        <v>11</v>
      </c>
      <c r="B3" s="2">
        <v>2205</v>
      </c>
      <c r="C3" s="2">
        <v>2397</v>
      </c>
      <c r="D3" s="2">
        <v>3111</v>
      </c>
      <c r="E3" s="2">
        <v>2556</v>
      </c>
      <c r="F3" s="2">
        <v>2890</v>
      </c>
      <c r="G3" s="2">
        <v>3553</v>
      </c>
      <c r="H3" s="2">
        <v>2788</v>
      </c>
      <c r="I3" s="2">
        <v>2049</v>
      </c>
      <c r="J3" s="1">
        <f>AVERAGE(B3:I3)</f>
        <v>2693.625</v>
      </c>
      <c r="K3" s="1">
        <f>_xlfn.STDEV.P(B3:I3)</f>
        <v>463.87227161687514</v>
      </c>
      <c r="M3" s="1" t="s">
        <v>25</v>
      </c>
      <c r="N3" s="1">
        <v>40</v>
      </c>
      <c r="O3" s="1">
        <f>J3</f>
        <v>2693.625</v>
      </c>
      <c r="P3" s="1">
        <f>J12</f>
        <v>2904.5</v>
      </c>
      <c r="Q3" s="1">
        <f>AVERAGE(C12,F12)</f>
        <v>2258</v>
      </c>
      <c r="X3" s="1">
        <v>80</v>
      </c>
      <c r="Y3" s="1">
        <f t="shared" ref="Y3:Z8" si="0">AVERAGE(O4)</f>
        <v>2466</v>
      </c>
      <c r="Z3" s="1">
        <f t="shared" si="0"/>
        <v>2758</v>
      </c>
    </row>
    <row r="4" spans="1:26" x14ac:dyDescent="0.25">
      <c r="A4" s="1" t="s">
        <v>11</v>
      </c>
      <c r="B4" s="2">
        <v>2200</v>
      </c>
      <c r="C4" s="2">
        <v>2183</v>
      </c>
      <c r="D4" s="2">
        <v>2748</v>
      </c>
      <c r="E4" s="2">
        <v>1988</v>
      </c>
      <c r="F4" s="2">
        <v>2722</v>
      </c>
      <c r="G4" s="2">
        <v>3372</v>
      </c>
      <c r="H4" s="2">
        <v>2601</v>
      </c>
      <c r="I4" s="2">
        <v>1914</v>
      </c>
      <c r="J4" s="1">
        <f t="shared" ref="J4:J10" si="1">AVERAGE(B4:I4)</f>
        <v>2466</v>
      </c>
      <c r="K4" s="1">
        <f t="shared" ref="K4:K10" si="2">_xlfn.STDEV.P(B4:I4)</f>
        <v>456.63908067531844</v>
      </c>
      <c r="N4" s="1">
        <v>80</v>
      </c>
      <c r="O4" s="1">
        <f t="shared" ref="O4:O10" si="3">J4</f>
        <v>2466</v>
      </c>
      <c r="P4" s="1">
        <f t="shared" ref="P4:P10" si="4">J13</f>
        <v>2758</v>
      </c>
      <c r="Q4" s="1">
        <f t="shared" ref="Q4:Q10" si="5">AVERAGE(C13,F13)</f>
        <v>2095</v>
      </c>
      <c r="X4" s="1">
        <v>120</v>
      </c>
      <c r="Y4" s="1">
        <f t="shared" si="0"/>
        <v>2309.5</v>
      </c>
      <c r="Z4" s="1">
        <f t="shared" si="0"/>
        <v>2662.25</v>
      </c>
    </row>
    <row r="5" spans="1:26" x14ac:dyDescent="0.25">
      <c r="A5" s="1" t="s">
        <v>11</v>
      </c>
      <c r="B5" s="2">
        <v>2185</v>
      </c>
      <c r="C5" s="2">
        <v>2082</v>
      </c>
      <c r="D5" s="2">
        <v>2409</v>
      </c>
      <c r="E5" s="2">
        <v>1823</v>
      </c>
      <c r="F5" s="2">
        <v>2573</v>
      </c>
      <c r="G5" s="2">
        <v>3101</v>
      </c>
      <c r="H5" s="2">
        <v>2388</v>
      </c>
      <c r="I5" s="2">
        <v>1915</v>
      </c>
      <c r="J5" s="1">
        <f t="shared" si="1"/>
        <v>2309.5</v>
      </c>
      <c r="K5" s="1">
        <f t="shared" si="2"/>
        <v>382.67740983758108</v>
      </c>
      <c r="N5" s="1">
        <v>120</v>
      </c>
      <c r="O5" s="1">
        <f t="shared" si="3"/>
        <v>2309.5</v>
      </c>
      <c r="P5" s="1">
        <f t="shared" si="4"/>
        <v>2662.25</v>
      </c>
      <c r="Q5" s="1">
        <f t="shared" si="5"/>
        <v>2034</v>
      </c>
      <c r="X5" s="1">
        <v>160</v>
      </c>
      <c r="Y5" s="1">
        <f t="shared" si="0"/>
        <v>2220.625</v>
      </c>
      <c r="Z5" s="1">
        <f t="shared" si="0"/>
        <v>2552</v>
      </c>
    </row>
    <row r="6" spans="1:26" x14ac:dyDescent="0.25">
      <c r="A6" s="1" t="s">
        <v>11</v>
      </c>
      <c r="B6" s="2">
        <v>2177</v>
      </c>
      <c r="C6" s="2">
        <v>2201</v>
      </c>
      <c r="D6" s="2">
        <v>2198</v>
      </c>
      <c r="E6" s="2">
        <v>1767</v>
      </c>
      <c r="F6" s="2">
        <v>2457</v>
      </c>
      <c r="G6" s="2">
        <v>2795</v>
      </c>
      <c r="H6" s="2">
        <v>2233</v>
      </c>
      <c r="I6" s="2">
        <v>1937</v>
      </c>
      <c r="J6" s="1">
        <f t="shared" si="1"/>
        <v>2220.625</v>
      </c>
      <c r="K6" s="1">
        <f t="shared" si="2"/>
        <v>290.46339592967649</v>
      </c>
      <c r="N6" s="1">
        <v>160</v>
      </c>
      <c r="O6" s="1">
        <f t="shared" si="3"/>
        <v>2220.625</v>
      </c>
      <c r="P6" s="1">
        <f t="shared" si="4"/>
        <v>2552</v>
      </c>
      <c r="Q6" s="1">
        <f t="shared" si="5"/>
        <v>1981</v>
      </c>
      <c r="X6" s="1">
        <v>200</v>
      </c>
      <c r="Y6" s="1">
        <f t="shared" si="0"/>
        <v>2068</v>
      </c>
      <c r="Z6" s="1">
        <f t="shared" si="0"/>
        <v>2457.5</v>
      </c>
    </row>
    <row r="7" spans="1:26" x14ac:dyDescent="0.25">
      <c r="A7" s="1" t="s">
        <v>11</v>
      </c>
      <c r="B7" s="2">
        <v>2081</v>
      </c>
      <c r="C7" s="2">
        <v>2194</v>
      </c>
      <c r="D7" s="2">
        <v>2003</v>
      </c>
      <c r="E7" s="2">
        <v>1668</v>
      </c>
      <c r="F7" s="2">
        <v>2237</v>
      </c>
      <c r="G7" s="2">
        <v>2419</v>
      </c>
      <c r="H7" s="2">
        <v>2062</v>
      </c>
      <c r="I7" s="2">
        <v>1880</v>
      </c>
      <c r="J7" s="1">
        <f t="shared" si="1"/>
        <v>2068</v>
      </c>
      <c r="K7" s="1">
        <f t="shared" si="2"/>
        <v>214.30468963604133</v>
      </c>
      <c r="N7" s="1">
        <v>200</v>
      </c>
      <c r="O7" s="1">
        <f t="shared" si="3"/>
        <v>2068</v>
      </c>
      <c r="P7" s="1">
        <f t="shared" si="4"/>
        <v>2457.5</v>
      </c>
      <c r="Q7" s="1">
        <f t="shared" si="5"/>
        <v>1943</v>
      </c>
      <c r="X7" s="1">
        <v>240</v>
      </c>
      <c r="Y7" s="1">
        <f t="shared" si="0"/>
        <v>1945.625</v>
      </c>
      <c r="Z7" s="1">
        <f t="shared" si="0"/>
        <v>2380.5</v>
      </c>
    </row>
    <row r="8" spans="1:26" x14ac:dyDescent="0.25">
      <c r="A8" s="1" t="s">
        <v>11</v>
      </c>
      <c r="B8" s="2">
        <v>1986</v>
      </c>
      <c r="C8" s="2">
        <v>2164</v>
      </c>
      <c r="D8" s="2">
        <v>1877</v>
      </c>
      <c r="E8" s="2">
        <v>1604</v>
      </c>
      <c r="F8" s="2">
        <v>2001</v>
      </c>
      <c r="G8" s="2">
        <v>2116</v>
      </c>
      <c r="H8" s="2">
        <v>1977</v>
      </c>
      <c r="I8" s="2">
        <v>1840</v>
      </c>
      <c r="J8" s="1">
        <f t="shared" si="1"/>
        <v>1945.625</v>
      </c>
      <c r="K8" s="1">
        <f t="shared" si="2"/>
        <v>163.92447765663309</v>
      </c>
      <c r="N8" s="1">
        <v>240</v>
      </c>
      <c r="O8" s="1">
        <f t="shared" si="3"/>
        <v>1945.625</v>
      </c>
      <c r="P8" s="1">
        <f t="shared" si="4"/>
        <v>2380.5</v>
      </c>
      <c r="Q8" s="1">
        <f t="shared" si="5"/>
        <v>1906.5</v>
      </c>
      <c r="X8" s="1">
        <v>280</v>
      </c>
      <c r="Y8" s="1">
        <f t="shared" si="0"/>
        <v>1945.75</v>
      </c>
      <c r="Z8" s="1">
        <f t="shared" si="0"/>
        <v>2321.25</v>
      </c>
    </row>
    <row r="9" spans="1:26" x14ac:dyDescent="0.25">
      <c r="A9" s="1" t="s">
        <v>11</v>
      </c>
      <c r="B9" s="2">
        <v>1910</v>
      </c>
      <c r="C9" s="2">
        <v>2230</v>
      </c>
      <c r="D9" s="2">
        <v>1897</v>
      </c>
      <c r="E9" s="2">
        <v>1662</v>
      </c>
      <c r="F9" s="2">
        <v>1878</v>
      </c>
      <c r="G9" s="2">
        <v>2043</v>
      </c>
      <c r="H9" s="2">
        <v>2048</v>
      </c>
      <c r="I9" s="2">
        <v>1898</v>
      </c>
      <c r="J9" s="1">
        <f t="shared" si="1"/>
        <v>1945.75</v>
      </c>
      <c r="K9" s="1">
        <f t="shared" si="2"/>
        <v>154.81824020444103</v>
      </c>
      <c r="N9" s="1">
        <v>280</v>
      </c>
      <c r="O9" s="1">
        <f t="shared" si="3"/>
        <v>1945.75</v>
      </c>
      <c r="P9" s="1">
        <f t="shared" si="4"/>
        <v>2321.25</v>
      </c>
      <c r="Q9" s="1">
        <f t="shared" si="5"/>
        <v>1879</v>
      </c>
      <c r="X9" s="1">
        <v>320</v>
      </c>
      <c r="Y9" s="1">
        <f>AVERAGE(O10)</f>
        <v>1953</v>
      </c>
      <c r="Z9" s="1">
        <f>AVERAGE(P10)</f>
        <v>2267.75</v>
      </c>
    </row>
    <row r="10" spans="1:26" x14ac:dyDescent="0.25">
      <c r="A10" s="1" t="s">
        <v>11</v>
      </c>
      <c r="B10" s="2">
        <v>1840</v>
      </c>
      <c r="C10" s="2">
        <v>2286</v>
      </c>
      <c r="D10" s="2">
        <v>1933</v>
      </c>
      <c r="E10" s="2">
        <v>1718</v>
      </c>
      <c r="F10" s="2">
        <v>1756</v>
      </c>
      <c r="G10" s="2">
        <v>2033</v>
      </c>
      <c r="H10" s="2">
        <v>2117</v>
      </c>
      <c r="I10" s="2">
        <v>1941</v>
      </c>
      <c r="J10" s="1">
        <f t="shared" si="1"/>
        <v>1953</v>
      </c>
      <c r="K10" s="1">
        <f t="shared" si="2"/>
        <v>177.31751182553853</v>
      </c>
      <c r="N10" s="1">
        <v>320</v>
      </c>
      <c r="O10" s="1">
        <f>J10</f>
        <v>1953</v>
      </c>
      <c r="P10" s="1">
        <f t="shared" si="4"/>
        <v>2267.75</v>
      </c>
      <c r="Q10" s="1">
        <f t="shared" si="5"/>
        <v>1844</v>
      </c>
      <c r="X10" s="1" t="s">
        <v>8</v>
      </c>
      <c r="Y10" s="1">
        <f>AVERAGE(Y2:Y9)</f>
        <v>2200.265625</v>
      </c>
      <c r="Z10" s="1">
        <f>AVERAGE(Z2:Z9)</f>
        <v>2537.96875</v>
      </c>
    </row>
    <row r="11" spans="1:26" x14ac:dyDescent="0.25">
      <c r="X11" s="1" t="s">
        <v>14</v>
      </c>
      <c r="Y11" s="1">
        <f>(Y9-Y2)/320</f>
        <v>-2.314453125</v>
      </c>
      <c r="Z11" s="1">
        <f>(Z9-Z2)/320</f>
        <v>-1.9898437499999999</v>
      </c>
    </row>
    <row r="12" spans="1:26" x14ac:dyDescent="0.25">
      <c r="A12" s="1" t="s">
        <v>26</v>
      </c>
      <c r="B12" s="2">
        <v>2995</v>
      </c>
      <c r="C12" s="2">
        <v>2413</v>
      </c>
      <c r="D12" s="2">
        <v>2961</v>
      </c>
      <c r="E12" s="2">
        <v>2841</v>
      </c>
      <c r="F12" s="2">
        <v>2103</v>
      </c>
      <c r="G12" s="2">
        <v>2821</v>
      </c>
      <c r="H12" s="2">
        <v>5906</v>
      </c>
      <c r="I12" s="2">
        <v>5858</v>
      </c>
      <c r="J12" s="1">
        <f>AVERAGE(B12,D12,E12,G12)</f>
        <v>2904.5</v>
      </c>
      <c r="K12" s="1">
        <f>_xlfn.STDEV.P(B12,D12,E12,G12)</f>
        <v>74.811429608048527</v>
      </c>
      <c r="O12" s="1" t="s">
        <v>11</v>
      </c>
      <c r="P12" s="1" t="s">
        <v>26</v>
      </c>
      <c r="X12" s="1">
        <v>40</v>
      </c>
      <c r="Y12" s="1">
        <f>AVERAGE(O13,Q13,S13)</f>
        <v>309.4361358084376</v>
      </c>
      <c r="Z12" s="1">
        <f>AVERAGE(P13,R13,T13)</f>
        <v>74.811429608048527</v>
      </c>
    </row>
    <row r="13" spans="1:26" x14ac:dyDescent="0.25">
      <c r="A13" s="1" t="s">
        <v>26</v>
      </c>
      <c r="B13" s="2">
        <v>2786</v>
      </c>
      <c r="C13" s="2">
        <v>2150</v>
      </c>
      <c r="D13" s="2">
        <v>2839</v>
      </c>
      <c r="E13" s="2">
        <v>2700</v>
      </c>
      <c r="F13" s="2">
        <v>2040</v>
      </c>
      <c r="G13" s="2">
        <v>2707</v>
      </c>
      <c r="H13" s="2">
        <v>5844</v>
      </c>
      <c r="I13" s="2">
        <v>5790</v>
      </c>
      <c r="J13" s="1">
        <f t="shared" ref="J13:J19" si="6">AVERAGE(B13,D13,E13,G13)</f>
        <v>2758</v>
      </c>
      <c r="K13" s="1">
        <f t="shared" ref="K13:K19" si="7">_xlfn.STDEV.P(B13,D13,E13,G13)</f>
        <v>57.684486649358334</v>
      </c>
      <c r="M13" s="1" t="s">
        <v>9</v>
      </c>
      <c r="N13" s="1">
        <v>40</v>
      </c>
      <c r="O13" s="1">
        <f>K3</f>
        <v>463.87227161687514</v>
      </c>
      <c r="P13" s="1">
        <f>K12</f>
        <v>74.811429608048527</v>
      </c>
      <c r="Q13" s="1">
        <f>_xlfn.STDEV.P(C12,F12)</f>
        <v>155</v>
      </c>
      <c r="X13" s="1">
        <v>80</v>
      </c>
      <c r="Y13" s="1">
        <f>AVERAGE(O14,Q14,S14)</f>
        <v>297.19499999999999</v>
      </c>
      <c r="Z13" s="1">
        <f t="shared" ref="Z13:Z19" si="8">AVERAGE(P14,R14,T14)</f>
        <v>57.684486649358334</v>
      </c>
    </row>
    <row r="14" spans="1:26" x14ac:dyDescent="0.25">
      <c r="A14" s="1" t="s">
        <v>26</v>
      </c>
      <c r="B14" s="2">
        <v>2654</v>
      </c>
      <c r="C14" s="2">
        <v>2050</v>
      </c>
      <c r="D14" s="2">
        <v>2745</v>
      </c>
      <c r="E14" s="2">
        <v>2599</v>
      </c>
      <c r="F14" s="2">
        <v>2018</v>
      </c>
      <c r="G14" s="2">
        <v>2651</v>
      </c>
      <c r="H14" s="2">
        <v>5835</v>
      </c>
      <c r="I14" s="2">
        <v>5775</v>
      </c>
      <c r="J14" s="1">
        <f t="shared" si="6"/>
        <v>2662.25</v>
      </c>
      <c r="K14" s="1">
        <f t="shared" si="7"/>
        <v>52.542244908264053</v>
      </c>
      <c r="N14" s="1">
        <v>80</v>
      </c>
      <c r="O14" s="1">
        <v>539.39</v>
      </c>
      <c r="P14" s="1">
        <f>K13</f>
        <v>57.684486649358334</v>
      </c>
      <c r="Q14" s="1">
        <f t="shared" ref="Q14:Q20" si="9">_xlfn.STDEV.P(C13,F13)</f>
        <v>55</v>
      </c>
      <c r="X14" s="1">
        <v>120</v>
      </c>
      <c r="Y14" s="1">
        <f t="shared" ref="Y14:Y19" si="10">AVERAGE(O15,Q15,S15)</f>
        <v>237.535</v>
      </c>
      <c r="Z14" s="1">
        <f t="shared" si="8"/>
        <v>52.542244908264053</v>
      </c>
    </row>
    <row r="15" spans="1:26" x14ac:dyDescent="0.25">
      <c r="A15" s="1" t="s">
        <v>26</v>
      </c>
      <c r="B15" s="2">
        <v>2540</v>
      </c>
      <c r="C15" s="2">
        <v>1982</v>
      </c>
      <c r="D15" s="2">
        <v>2594</v>
      </c>
      <c r="E15" s="2">
        <v>2490</v>
      </c>
      <c r="F15" s="2">
        <v>1980</v>
      </c>
      <c r="G15" s="2">
        <v>2584</v>
      </c>
      <c r="H15" s="2">
        <v>5786</v>
      </c>
      <c r="I15" s="2">
        <v>5742</v>
      </c>
      <c r="J15" s="1">
        <f t="shared" si="6"/>
        <v>2552</v>
      </c>
      <c r="K15" s="1">
        <f t="shared" si="7"/>
        <v>41.158231254513353</v>
      </c>
      <c r="N15" s="1">
        <v>120</v>
      </c>
      <c r="O15" s="1">
        <v>459.07</v>
      </c>
      <c r="P15" s="1">
        <f t="shared" ref="P14:P20" si="11">K14</f>
        <v>52.542244908264053</v>
      </c>
      <c r="Q15" s="1">
        <f t="shared" si="9"/>
        <v>16</v>
      </c>
      <c r="X15" s="1">
        <v>160</v>
      </c>
      <c r="Y15" s="1">
        <f t="shared" si="10"/>
        <v>203.81</v>
      </c>
      <c r="Z15" s="1">
        <f t="shared" si="8"/>
        <v>41.158231254513353</v>
      </c>
    </row>
    <row r="16" spans="1:26" x14ac:dyDescent="0.25">
      <c r="A16" s="1" t="s">
        <v>26</v>
      </c>
      <c r="B16" s="2">
        <v>2442</v>
      </c>
      <c r="C16" s="2">
        <v>1928</v>
      </c>
      <c r="D16" s="2">
        <v>2466</v>
      </c>
      <c r="E16" s="2">
        <v>2399</v>
      </c>
      <c r="F16" s="2">
        <v>1958</v>
      </c>
      <c r="G16" s="2">
        <v>2523</v>
      </c>
      <c r="H16" s="2">
        <v>5775</v>
      </c>
      <c r="I16" s="2">
        <v>5727</v>
      </c>
      <c r="J16" s="1">
        <f t="shared" si="6"/>
        <v>2457.5</v>
      </c>
      <c r="K16" s="1">
        <f t="shared" si="7"/>
        <v>44.791182167922294</v>
      </c>
      <c r="N16" s="1">
        <v>160</v>
      </c>
      <c r="O16" s="1">
        <v>406.62</v>
      </c>
      <c r="P16" s="1">
        <f t="shared" si="11"/>
        <v>41.158231254513353</v>
      </c>
      <c r="Q16" s="1">
        <f t="shared" si="9"/>
        <v>1</v>
      </c>
      <c r="X16" s="1">
        <v>200</v>
      </c>
      <c r="Y16" s="1">
        <f t="shared" si="10"/>
        <v>197.36</v>
      </c>
      <c r="Z16" s="1">
        <f t="shared" si="8"/>
        <v>44.791182167922294</v>
      </c>
    </row>
    <row r="17" spans="1:26" x14ac:dyDescent="0.25">
      <c r="A17" s="1" t="s">
        <v>26</v>
      </c>
      <c r="B17" s="2">
        <v>2378</v>
      </c>
      <c r="C17" s="2">
        <v>1873</v>
      </c>
      <c r="D17" s="2">
        <v>2360</v>
      </c>
      <c r="E17" s="2">
        <v>2330</v>
      </c>
      <c r="F17" s="2">
        <v>1940</v>
      </c>
      <c r="G17" s="2">
        <v>2454</v>
      </c>
      <c r="H17" s="2">
        <v>5764</v>
      </c>
      <c r="I17" s="2">
        <v>5704</v>
      </c>
      <c r="J17" s="1">
        <f t="shared" si="6"/>
        <v>2380.5</v>
      </c>
      <c r="K17" s="1">
        <f t="shared" si="7"/>
        <v>45.768438907177071</v>
      </c>
      <c r="N17" s="1">
        <v>200</v>
      </c>
      <c r="O17" s="1">
        <v>379.72</v>
      </c>
      <c r="P17" s="1">
        <f t="shared" si="11"/>
        <v>44.791182167922294</v>
      </c>
      <c r="Q17" s="1">
        <f t="shared" si="9"/>
        <v>15</v>
      </c>
      <c r="X17" s="1">
        <v>240</v>
      </c>
      <c r="Y17" s="1">
        <f t="shared" si="10"/>
        <v>188.63</v>
      </c>
      <c r="Z17" s="1">
        <f t="shared" si="8"/>
        <v>45.768438907177071</v>
      </c>
    </row>
    <row r="18" spans="1:26" x14ac:dyDescent="0.25">
      <c r="A18" s="1" t="s">
        <v>26</v>
      </c>
      <c r="B18" s="2">
        <v>2315</v>
      </c>
      <c r="C18" s="2">
        <v>1824</v>
      </c>
      <c r="D18" s="2">
        <v>2279</v>
      </c>
      <c r="E18" s="2">
        <v>2298</v>
      </c>
      <c r="F18" s="2">
        <v>1934</v>
      </c>
      <c r="G18" s="2">
        <v>2393</v>
      </c>
      <c r="H18" s="2">
        <v>5745</v>
      </c>
      <c r="I18" s="2">
        <v>5696</v>
      </c>
      <c r="J18" s="1">
        <f t="shared" si="6"/>
        <v>2321.25</v>
      </c>
      <c r="K18" s="1">
        <f t="shared" si="7"/>
        <v>43.338060639581002</v>
      </c>
      <c r="N18" s="1">
        <v>240</v>
      </c>
      <c r="O18" s="1">
        <v>343.76</v>
      </c>
      <c r="P18" s="1">
        <f t="shared" si="11"/>
        <v>45.768438907177071</v>
      </c>
      <c r="Q18" s="1">
        <f t="shared" si="9"/>
        <v>33.5</v>
      </c>
      <c r="X18" s="1">
        <v>280</v>
      </c>
      <c r="Y18" s="1">
        <f t="shared" si="10"/>
        <v>194.14500000000001</v>
      </c>
      <c r="Z18" s="1">
        <f t="shared" si="8"/>
        <v>43.338060639581002</v>
      </c>
    </row>
    <row r="19" spans="1:26" x14ac:dyDescent="0.25">
      <c r="A19" s="1" t="s">
        <v>26</v>
      </c>
      <c r="B19" s="2">
        <v>2264</v>
      </c>
      <c r="C19" s="2">
        <v>1774</v>
      </c>
      <c r="D19" s="2">
        <v>2205</v>
      </c>
      <c r="E19" s="2">
        <v>2260</v>
      </c>
      <c r="F19" s="2">
        <v>1914</v>
      </c>
      <c r="G19" s="2">
        <v>2342</v>
      </c>
      <c r="H19" s="2">
        <v>5743</v>
      </c>
      <c r="I19" s="2">
        <v>5695</v>
      </c>
      <c r="J19" s="1">
        <f t="shared" si="6"/>
        <v>2267.75</v>
      </c>
      <c r="K19" s="1">
        <f t="shared" si="7"/>
        <v>48.797412841256246</v>
      </c>
      <c r="N19" s="1">
        <v>280</v>
      </c>
      <c r="O19" s="1">
        <v>333.29</v>
      </c>
      <c r="P19" s="1">
        <f t="shared" si="11"/>
        <v>43.338060639581002</v>
      </c>
      <c r="Q19" s="1">
        <f>_xlfn.STDEV.P(C18,F18)</f>
        <v>55</v>
      </c>
      <c r="X19" s="1">
        <v>320</v>
      </c>
      <c r="Y19" s="1">
        <f t="shared" si="10"/>
        <v>191.88499999999999</v>
      </c>
      <c r="Z19" s="1">
        <f t="shared" si="8"/>
        <v>48.797412841256246</v>
      </c>
    </row>
    <row r="20" spans="1:26" x14ac:dyDescent="0.25">
      <c r="N20" s="1">
        <v>320</v>
      </c>
      <c r="O20" s="1">
        <v>313.77</v>
      </c>
      <c r="P20" s="1">
        <f t="shared" si="11"/>
        <v>48.797412841256246</v>
      </c>
      <c r="Q20" s="1">
        <f>_xlfn.STDEV.P(C19,F19)</f>
        <v>70</v>
      </c>
      <c r="X20" s="1" t="s">
        <v>15</v>
      </c>
      <c r="Y20" s="1">
        <f>AVERAGE(Y12:Y19)</f>
        <v>227.49951697605471</v>
      </c>
      <c r="Z20" s="1">
        <f>AVERAGE(Z12:Z19)</f>
        <v>51.111435872015107</v>
      </c>
    </row>
    <row r="21" spans="1:26" x14ac:dyDescent="0.25">
      <c r="Y21" s="1">
        <f>Y20/Y10</f>
        <v>0.10339638741393085</v>
      </c>
      <c r="Z21" s="1">
        <f>Z20/Z10</f>
        <v>2.0138717575626221E-2</v>
      </c>
    </row>
    <row r="23" spans="1:26" x14ac:dyDescent="0.25">
      <c r="B23" s="2"/>
      <c r="C23" s="2"/>
      <c r="D23" s="2"/>
      <c r="E23" s="2"/>
      <c r="F23" s="2"/>
      <c r="G23" s="2"/>
      <c r="H23" s="2"/>
      <c r="I23" s="2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953bb, 953i</vt:lpstr>
      <vt:lpstr>953c, 953e</vt:lpstr>
      <vt:lpstr>953i, prod</vt:lpstr>
      <vt:lpstr>953i, prod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</cp:lastModifiedBy>
  <dcterms:created xsi:type="dcterms:W3CDTF">2020-04-06T17:08:00Z</dcterms:created>
  <dcterms:modified xsi:type="dcterms:W3CDTF">2020-04-14T21:05:01Z</dcterms:modified>
</cp:coreProperties>
</file>